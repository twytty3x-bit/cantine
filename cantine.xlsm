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tricklabbe/Documents/Personnel/Meepleqc/Ca va Meepler! 4/"/>
    </mc:Choice>
  </mc:AlternateContent>
  <xr:revisionPtr revIDLastSave="0" documentId="13_ncr:1_{BD01BC46-512A-3F42-B6A9-215FFAEE8181}" xr6:coauthVersionLast="47" xr6:coauthVersionMax="47" xr10:uidLastSave="{00000000-0000-0000-0000-000000000000}"/>
  <bookViews>
    <workbookView xWindow="-30140" yWindow="3400" windowWidth="29440" windowHeight="18880" activeTab="3" xr2:uid="{5E42FF4E-E5DE-4D41-B1C9-6210F52CF3C9}"/>
  </bookViews>
  <sheets>
    <sheet name="Statistiques" sheetId="4" r:id="rId1"/>
    <sheet name="Gratuité" sheetId="6" r:id="rId2"/>
    <sheet name="Inventaire + Vente" sheetId="5" r:id="rId3"/>
    <sheet name="Budget-Cantine" sheetId="9" r:id="rId4"/>
    <sheet name="Comptant" sheetId="2" r:id="rId5"/>
  </sheets>
  <calcPr calcId="191028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" i="9" l="1"/>
  <c r="M13" i="9"/>
  <c r="E17" i="9"/>
  <c r="F17" i="9"/>
  <c r="K7" i="9"/>
  <c r="E3" i="9"/>
  <c r="F3" i="9"/>
  <c r="K3" i="9"/>
  <c r="M3" i="9"/>
  <c r="E4" i="9"/>
  <c r="F4" i="9"/>
  <c r="K4" i="9"/>
  <c r="M4" i="9"/>
  <c r="E5" i="9"/>
  <c r="F5" i="9"/>
  <c r="K5" i="9"/>
  <c r="M5" i="9" s="1"/>
  <c r="E6" i="9"/>
  <c r="F6" i="9"/>
  <c r="K6" i="9"/>
  <c r="M6" i="9" s="1"/>
  <c r="E7" i="9"/>
  <c r="F7" i="9"/>
  <c r="F18" i="9" s="1"/>
  <c r="M7" i="9"/>
  <c r="E8" i="9"/>
  <c r="F8" i="9"/>
  <c r="K8" i="9"/>
  <c r="M8" i="9"/>
  <c r="E9" i="9"/>
  <c r="F9" i="9"/>
  <c r="K9" i="9"/>
  <c r="M9" i="9" s="1"/>
  <c r="E10" i="9"/>
  <c r="F10" i="9"/>
  <c r="K10" i="9"/>
  <c r="M10" i="9"/>
  <c r="E11" i="9"/>
  <c r="F11" i="9"/>
  <c r="K11" i="9"/>
  <c r="M11" i="9"/>
  <c r="E12" i="9"/>
  <c r="F12" i="9"/>
  <c r="K12" i="9"/>
  <c r="M12" i="9" s="1"/>
  <c r="E13" i="9"/>
  <c r="F13" i="9"/>
  <c r="E14" i="9"/>
  <c r="F14" i="9"/>
  <c r="E15" i="9"/>
  <c r="F15" i="9"/>
  <c r="E16" i="9"/>
  <c r="F16" i="9"/>
  <c r="N20" i="9"/>
  <c r="O20" i="9"/>
  <c r="N21" i="9" l="1"/>
  <c r="D8" i="6" l="1"/>
  <c r="D2" i="6"/>
  <c r="D3" i="6"/>
  <c r="D4" i="6"/>
  <c r="D5" i="6"/>
  <c r="D6" i="6"/>
  <c r="D7" i="6"/>
  <c r="D36" i="5"/>
  <c r="F36" i="5" s="1"/>
  <c r="D35" i="5"/>
  <c r="F35" i="5" s="1"/>
  <c r="D2" i="5"/>
  <c r="D3" i="5"/>
  <c r="D4" i="5"/>
  <c r="D5" i="5"/>
  <c r="D6" i="5"/>
  <c r="D7" i="5"/>
  <c r="D8" i="5"/>
  <c r="D9" i="5"/>
  <c r="D10" i="5"/>
  <c r="D11" i="5"/>
  <c r="D12" i="5"/>
  <c r="D13" i="5"/>
  <c r="F13" i="5" s="1"/>
  <c r="D14" i="5"/>
  <c r="F14" i="5" s="1"/>
  <c r="D15" i="5"/>
  <c r="F15" i="5" s="1"/>
  <c r="D16" i="5"/>
  <c r="F16" i="5" s="1"/>
  <c r="D17" i="5"/>
  <c r="F17" i="5" s="1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D33" i="5"/>
  <c r="F33" i="5" s="1"/>
  <c r="D34" i="5"/>
  <c r="F34" i="5" s="1"/>
  <c r="G9" i="2"/>
  <c r="D21" i="6" l="1"/>
  <c r="F38" i="5" s="1"/>
  <c r="F11" i="5"/>
  <c r="F2" i="5"/>
  <c r="F8" i="5"/>
  <c r="F7" i="5"/>
  <c r="F6" i="5"/>
  <c r="F10" i="5"/>
  <c r="F9" i="5"/>
  <c r="F5" i="5"/>
  <c r="F4" i="5"/>
  <c r="F3" i="5"/>
  <c r="F12" i="5"/>
  <c r="G5" i="2"/>
  <c r="G6" i="2"/>
  <c r="G7" i="2"/>
  <c r="G8" i="2"/>
  <c r="G10" i="2"/>
  <c r="G11" i="2"/>
  <c r="G12" i="2"/>
  <c r="G13" i="2"/>
  <c r="G4" i="2"/>
  <c r="C5" i="2"/>
  <c r="C6" i="2"/>
  <c r="C7" i="2"/>
  <c r="C8" i="2"/>
  <c r="C9" i="2"/>
  <c r="C10" i="2"/>
  <c r="C11" i="2"/>
  <c r="C4" i="2"/>
  <c r="F37" i="5" l="1"/>
  <c r="F39" i="5" s="1"/>
  <c r="G16" i="2" s="1"/>
  <c r="G18" i="2" s="1"/>
  <c r="N16" i="9"/>
  <c r="G14" i="2"/>
  <c r="C12" i="2"/>
  <c r="D1" i="4"/>
  <c r="C1" i="4"/>
  <c r="G20" i="2" l="1"/>
</calcChain>
</file>

<file path=xl/sharedStrings.xml><?xml version="1.0" encoding="utf-8"?>
<sst xmlns="http://schemas.openxmlformats.org/spreadsheetml/2006/main" count="117" uniqueCount="92">
  <si>
    <t>Prix</t>
  </si>
  <si>
    <t>Étiquettes de lignes</t>
  </si>
  <si>
    <t>Total général</t>
  </si>
  <si>
    <t>Nombre de Jeu</t>
  </si>
  <si>
    <t>Somme de Prix</t>
  </si>
  <si>
    <t>Somme de Montant pour le vendeur</t>
  </si>
  <si>
    <t>Vendu? ('O' si oui)</t>
  </si>
  <si>
    <t>Unité</t>
  </si>
  <si>
    <t>Valeur</t>
  </si>
  <si>
    <t>Avant</t>
  </si>
  <si>
    <t>Total</t>
  </si>
  <si>
    <t>Argent comptant</t>
  </si>
  <si>
    <t>Balance ?</t>
  </si>
  <si>
    <t>Après la fin de la vente</t>
  </si>
  <si>
    <t>(Plusieurs éléments)</t>
  </si>
  <si>
    <t>QTÉ</t>
  </si>
  <si>
    <t>Café</t>
  </si>
  <si>
    <t>Eau</t>
  </si>
  <si>
    <t>orangade</t>
  </si>
  <si>
    <t>creme soda</t>
  </si>
  <si>
    <t>root beer</t>
  </si>
  <si>
    <t>raisin</t>
  </si>
  <si>
    <t>pepsi</t>
  </si>
  <si>
    <t>7up</t>
  </si>
  <si>
    <t>bubbly mure</t>
  </si>
  <si>
    <t>bubbly cherise</t>
  </si>
  <si>
    <t>canada dry</t>
  </si>
  <si>
    <t>bubbly orange</t>
  </si>
  <si>
    <t>sweettart</t>
  </si>
  <si>
    <t>Miss viky sea salt vinaigre</t>
  </si>
  <si>
    <t>miss viky original</t>
  </si>
  <si>
    <t>Lays ketchup</t>
  </si>
  <si>
    <t>Lays original</t>
  </si>
  <si>
    <t>Doritos</t>
  </si>
  <si>
    <t>Ruffles All dressed</t>
  </si>
  <si>
    <t>Cheetos</t>
  </si>
  <si>
    <t>kit kat</t>
  </si>
  <si>
    <t>aero</t>
  </si>
  <si>
    <t>coffee crips</t>
  </si>
  <si>
    <t>Smarties</t>
  </si>
  <si>
    <t>caramilk</t>
  </si>
  <si>
    <t>Mr Bigs</t>
  </si>
  <si>
    <t>Chrunchie</t>
  </si>
  <si>
    <t>Wunderbar</t>
  </si>
  <si>
    <t>Crispy chrunh</t>
  </si>
  <si>
    <t>mars</t>
  </si>
  <si>
    <t>twix</t>
  </si>
  <si>
    <t>M&amp;M</t>
  </si>
  <si>
    <t>Snickers</t>
  </si>
  <si>
    <t>eau</t>
  </si>
  <si>
    <t>Chip</t>
  </si>
  <si>
    <t xml:space="preserve">Chocolat </t>
  </si>
  <si>
    <t>Restant</t>
  </si>
  <si>
    <t>Vendu</t>
  </si>
  <si>
    <t>$</t>
  </si>
  <si>
    <t>Jujube</t>
  </si>
  <si>
    <t>Gratuité</t>
  </si>
  <si>
    <t>Grand Total</t>
  </si>
  <si>
    <t>Vente Cantine</t>
  </si>
  <si>
    <t>Participation</t>
  </si>
  <si>
    <t>total</t>
  </si>
  <si>
    <t>Item</t>
  </si>
  <si>
    <t>Acheté</t>
  </si>
  <si>
    <t>miss viky BBQ fumé</t>
  </si>
  <si>
    <t>miss viky sweet chili</t>
  </si>
  <si>
    <t>Profit réel</t>
  </si>
  <si>
    <t>Total revenu</t>
  </si>
  <si>
    <t>Crush</t>
  </si>
  <si>
    <t>ginger All</t>
  </si>
  <si>
    <t>Pepsi</t>
  </si>
  <si>
    <t xml:space="preserve">Total profit </t>
  </si>
  <si>
    <t>Bubbly</t>
  </si>
  <si>
    <t>Ginger All</t>
  </si>
  <si>
    <t>Barre de chocolat</t>
  </si>
  <si>
    <t>Battonet café</t>
  </si>
  <si>
    <t>Café (kcup)</t>
  </si>
  <si>
    <t>Chips Lays</t>
  </si>
  <si>
    <t>Chips Miss Vicky</t>
  </si>
  <si>
    <t>Chips Mss Vicky</t>
  </si>
  <si>
    <t>Profit unitaire</t>
  </si>
  <si>
    <t>Cout unitaire</t>
  </si>
  <si>
    <t xml:space="preserve">QTÉ unitaire </t>
  </si>
  <si>
    <t>QTÉ a acheter</t>
  </si>
  <si>
    <t>QTÉ par boite</t>
  </si>
  <si>
    <t>Cout</t>
  </si>
  <si>
    <t>Frais Variable</t>
  </si>
  <si>
    <t>Verre café 10oz+Couvercle</t>
  </si>
  <si>
    <t>Lait (Café)</t>
  </si>
  <si>
    <t>Cappucinno</t>
  </si>
  <si>
    <t>Lait (Cappu)</t>
  </si>
  <si>
    <t>Sac Jujubbe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</si>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</sst>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* #,##0.00_)\ &quot;$&quot;_ ;_ * \(#,##0.00\)\ &quot;$&quot;_ ;_ * &quot;-&quot;??_)\ &quot;$&quot;_ ;_ @_ "/>
    <numFmt numFmtId="164" formatCode="#,##0.00\ &quot;$&quot;"/>
    <numFmt numFmtId="165" formatCode="[$-1009]General"/>
    <numFmt numFmtId="166" formatCode="&quot; &quot;#,##0.00&quot;  $ &quot;;&quot; (&quot;#,##0.00&quot;) $ &quot;;&quot; -&quot;#&quot;  $ &quot;;&quot; &quot;@&quot; &quot;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5" fontId="6" fillId="0" borderId="0"/>
    <xf numFmtId="166" fontId="6" fillId="0" borderId="0"/>
  </cellStyleXfs>
  <cellXfs count="48">
    <xf numFmtId="0" fontId="0" fillId="0" borderId="0" xfId="0"/>
    <xf numFmtId="44" fontId="0" fillId="0" borderId="0" xfId="1" applyFont="1"/>
    <xf numFmtId="44" fontId="0" fillId="0" borderId="0" xfId="0" applyNumberFormat="1"/>
    <xf numFmtId="44" fontId="0" fillId="2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0" fontId="0" fillId="4" borderId="5" xfId="0" applyFill="1" applyBorder="1" applyAlignment="1">
      <alignment horizont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64" fontId="2" fillId="4" borderId="0" xfId="0" applyNumberFormat="1" applyFont="1" applyFill="1" applyAlignment="1">
      <alignment horizontal="center" vertical="center"/>
    </xf>
    <xf numFmtId="164" fontId="2" fillId="4" borderId="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164" fontId="0" fillId="4" borderId="1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2" fillId="4" borderId="2" xfId="0" applyNumberFormat="1" applyFont="1" applyFill="1" applyBorder="1" applyAlignment="1">
      <alignment horizontal="center"/>
    </xf>
    <xf numFmtId="0" fontId="0" fillId="3" borderId="0" xfId="0" applyFill="1"/>
    <xf numFmtId="0" fontId="0" fillId="4" borderId="3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16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 vertical="center"/>
    </xf>
    <xf numFmtId="164" fontId="0" fillId="4" borderId="3" xfId="0" applyNumberFormat="1" applyFill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3" borderId="5" xfId="0" applyFill="1" applyBorder="1"/>
    <xf numFmtId="0" fontId="0" fillId="4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2" fontId="0" fillId="4" borderId="1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2" fillId="0" borderId="0" xfId="0" applyFont="1"/>
    <xf numFmtId="0" fontId="0" fillId="0" borderId="0" xfId="1" applyNumberFormat="1" applyFont="1"/>
    <xf numFmtId="44" fontId="0" fillId="5" borderId="0" xfId="1" applyFont="1" applyFill="1"/>
    <xf numFmtId="0" fontId="2" fillId="5" borderId="0" xfId="0" applyFont="1" applyFill="1"/>
    <xf numFmtId="44" fontId="0" fillId="4" borderId="0" xfId="1" applyFont="1" applyFill="1"/>
    <xf numFmtId="0" fontId="4" fillId="4" borderId="2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</cellXfs>
  <cellStyles count="6">
    <cellStyle name="Excel Built-in Currency" xfId="5" xr:uid="{8A12BAD5-6887-7642-872E-2FCDEFA75E5F}"/>
    <cellStyle name="Excel Built-in Normal" xfId="4" xr:uid="{C5F5B24B-E2C5-3F4B-94FB-84BD53F95FFE}"/>
    <cellStyle name="Monétaire" xfId="1" builtinId="4"/>
    <cellStyle name="Normal" xfId="0" builtinId="0"/>
    <cellStyle name="Normal 2" xfId="3" xr:uid="{888A2C65-2976-2946-9FE6-BCF2756B9801}"/>
    <cellStyle name="Pourcentage" xfId="2" builtinId="5"/>
  </cellStyles>
  <dxfs count="3">
    <dxf>
      <numFmt numFmtId="34" formatCode="_ * #,##0.00_)\ &quot;$&quot;_ ;_ * \(#,##0.00\)\ &quot;$&quot;_ ;_ * &quot;-&quot;??_)\ &quot;$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707.874868055558" createdVersion="6" refreshedVersion="8" minRefreshableVersion="3" recordCount="233" xr:uid="{A918C1FC-5E47-9E41-85CC-CB6B020B7A5E}">
  <cacheSource type="worksheet">
    <worksheetSource name="Tableau1"/>
  </cacheSource>
  <cacheFields count="7">
    <cacheField name="Nom" numFmtId="0">
      <sharedItems containsBlank="1" count="25">
        <s v="Gilles Turbide"/>
        <s v="Bianka Fortier"/>
        <s v="Steeve Bruno"/>
        <s v="Jason Lapointe"/>
        <s v="Mélissa Savoie"/>
        <s v="Sonya Durand"/>
        <s v="Catherine Gariépy"/>
        <s v="Patrick Labbe"/>
        <m/>
        <s v="Sébastien Soulard" u="1"/>
        <s v="Jean-Nicolas Gauthier" u="1"/>
        <s v="Stéphane Julien" u="1"/>
        <s v="Pat L" u="1"/>
        <s v="Steven Robert" u="1"/>
        <s v="JackBro" u="1"/>
        <s v="Israël Côté" u="1"/>
        <s v="Salma Behna" u="1"/>
        <s v="Maxime Dumoulin" u="1"/>
        <s v="Maxime Bois" u="1"/>
        <s v="Étienne Cassista" u="1"/>
        <s v="Katia" u="1"/>
        <s v="Erick Fortin" u="1"/>
        <s v="Thomas Sanchez" u="1"/>
        <s v="Claude Galarneau" u="1"/>
        <s v="Stéphanie Julien" u="1"/>
      </sharedItems>
    </cacheField>
    <cacheField name="Jeu" numFmtId="0">
      <sharedItems containsBlank="1"/>
    </cacheField>
    <cacheField name="Prix" numFmtId="0">
      <sharedItems containsString="0" containsBlank="1" containsNumber="1" containsInteger="1" minValue="3" maxValue="220"/>
    </cacheField>
    <cacheField name="Commission" numFmtId="44">
      <sharedItems containsString="0" containsBlank="1" containsNumber="1" containsInteger="1" minValue="0" maxValue="2"/>
    </cacheField>
    <cacheField name="Vendu? ('O' si oui)" numFmtId="0">
      <sharedItems containsBlank="1" count="3">
        <m/>
        <s v=" "/>
        <s v="O" u="1"/>
      </sharedItems>
    </cacheField>
    <cacheField name="Commission gagné" numFmtId="0">
      <sharedItems containsSemiMixedTypes="0" containsString="0" containsNumber="1" containsInteger="1" minValue="0" maxValue="0"/>
    </cacheField>
    <cacheField name="Montant pour le vendeur" numFmtId="44">
      <sharedItems containsSemiMixedTypes="0" containsString="0" containsNumber="1" containsInteger="1" minValue="0" maxValue="2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3">
  <r>
    <x v="0"/>
    <s v="Flourish [FR]"/>
    <n v="35"/>
    <n v="2"/>
    <x v="0"/>
    <n v="0"/>
    <n v="33"/>
  </r>
  <r>
    <x v="0"/>
    <s v="La Vallée des Mamouth [FR]"/>
    <n v="15"/>
    <n v="2"/>
    <x v="0"/>
    <n v="0"/>
    <n v="13"/>
  </r>
  <r>
    <x v="0"/>
    <s v="Viceroy [FR]"/>
    <n v="20"/>
    <n v="2"/>
    <x v="1"/>
    <n v="0"/>
    <n v="18"/>
  </r>
  <r>
    <x v="0"/>
    <s v="Twelve Heroes [FR]"/>
    <n v="10"/>
    <n v="2"/>
    <x v="1"/>
    <n v="0"/>
    <n v="8"/>
  </r>
  <r>
    <x v="0"/>
    <s v="Hadara [EN]"/>
    <n v="35"/>
    <n v="2"/>
    <x v="0"/>
    <n v="0"/>
    <n v="33"/>
  </r>
  <r>
    <x v="0"/>
    <s v="Rome &amp; Roll [FR]"/>
    <n v="35"/>
    <n v="2"/>
    <x v="0"/>
    <n v="0"/>
    <n v="33"/>
  </r>
  <r>
    <x v="0"/>
    <s v="Tailted Grail [FR] La chute d'Avalon + EXT - Age des Légendes et le dernier chevalier  [2 boites + Livre]"/>
    <n v="220"/>
    <n v="2"/>
    <x v="0"/>
    <n v="0"/>
    <n v="218"/>
  </r>
  <r>
    <x v="1"/>
    <s v="Patchwork"/>
    <n v="27"/>
    <n v="2"/>
    <x v="0"/>
    <n v="0"/>
    <n v="25"/>
  </r>
  <r>
    <x v="1"/>
    <s v="Loups garous de Thiercelieux"/>
    <n v="7"/>
    <n v="2"/>
    <x v="0"/>
    <n v="0"/>
    <n v="5"/>
  </r>
  <r>
    <x v="1"/>
    <s v="Dino duel"/>
    <n v="7"/>
    <n v="2"/>
    <x v="0"/>
    <n v="0"/>
    <n v="5"/>
  </r>
  <r>
    <x v="1"/>
    <s v="Meurtre et mystère"/>
    <n v="7"/>
    <n v="2"/>
    <x v="0"/>
    <n v="0"/>
    <n v="5"/>
  </r>
  <r>
    <x v="1"/>
    <s v="Rallyman"/>
    <n v="17"/>
    <n v="2"/>
    <x v="0"/>
    <n v="0"/>
    <n v="15"/>
  </r>
  <r>
    <x v="1"/>
    <s v="Big book of madness"/>
    <n v="12"/>
    <n v="2"/>
    <x v="0"/>
    <n v="0"/>
    <n v="10"/>
  </r>
  <r>
    <x v="1"/>
    <s v="King of tokyo"/>
    <n v="37"/>
    <n v="2"/>
    <x v="0"/>
    <n v="0"/>
    <n v="35"/>
  </r>
  <r>
    <x v="2"/>
    <s v="Bunny Kingdom"/>
    <n v="30"/>
    <n v="2"/>
    <x v="1"/>
    <n v="0"/>
    <n v="28"/>
  </r>
  <r>
    <x v="2"/>
    <s v="Coatl (Pimpé 3D)"/>
    <n v="30"/>
    <n v="2"/>
    <x v="0"/>
    <n v="0"/>
    <n v="28"/>
  </r>
  <r>
    <x v="2"/>
    <s v="Deus"/>
    <n v="40"/>
    <n v="2"/>
    <x v="0"/>
    <n v="0"/>
    <n v="38"/>
  </r>
  <r>
    <x v="2"/>
    <s v="Eko"/>
    <n v="30"/>
    <n v="2"/>
    <x v="0"/>
    <n v="0"/>
    <n v="28"/>
  </r>
  <r>
    <x v="2"/>
    <s v="Elysium"/>
    <n v="30"/>
    <n v="2"/>
    <x v="0"/>
    <n v="0"/>
    <n v="28"/>
  </r>
  <r>
    <x v="2"/>
    <s v="Fistful of Meeples"/>
    <n v="15"/>
    <n v="2"/>
    <x v="0"/>
    <n v="0"/>
    <n v="13"/>
  </r>
  <r>
    <x v="2"/>
    <s v="Flipships"/>
    <n v="30"/>
    <n v="2"/>
    <x v="0"/>
    <n v="0"/>
    <n v="28"/>
  </r>
  <r>
    <x v="2"/>
    <s v="Fort (Sleevé Premium)"/>
    <n v="25"/>
    <n v="2"/>
    <x v="0"/>
    <n v="0"/>
    <n v="23"/>
  </r>
  <r>
    <x v="2"/>
    <s v="Grandbois (Pimpé 3D)"/>
    <n v="20"/>
    <n v="2"/>
    <x v="0"/>
    <n v="0"/>
    <n v="18"/>
  </r>
  <r>
    <x v="2"/>
    <s v="Imperial Settlers: Roll &amp; Write"/>
    <n v="20"/>
    <n v="2"/>
    <x v="0"/>
    <n v="0"/>
    <n v="18"/>
  </r>
  <r>
    <x v="2"/>
    <s v="Ink Monsters"/>
    <n v="10"/>
    <n v="2"/>
    <x v="0"/>
    <n v="0"/>
    <n v="8"/>
  </r>
  <r>
    <x v="2"/>
    <s v="Kero"/>
    <n v="30"/>
    <n v="2"/>
    <x v="0"/>
    <n v="0"/>
    <n v="28"/>
  </r>
  <r>
    <x v="2"/>
    <s v="Kings of air and steam"/>
    <n v="30"/>
    <n v="2"/>
    <x v="0"/>
    <n v="0"/>
    <n v="28"/>
  </r>
  <r>
    <x v="2"/>
    <s v="La Havane"/>
    <n v="30"/>
    <n v="2"/>
    <x v="0"/>
    <n v="0"/>
    <n v="28"/>
  </r>
  <r>
    <x v="2"/>
    <s v="La légende du cerisier"/>
    <n v="20"/>
    <n v="2"/>
    <x v="0"/>
    <n v="0"/>
    <n v="18"/>
  </r>
  <r>
    <x v="2"/>
    <s v="Liguria (Sleevé)"/>
    <n v="30"/>
    <n v="2"/>
    <x v="0"/>
    <n v="0"/>
    <n v="28"/>
  </r>
  <r>
    <x v="2"/>
    <s v="Majesty: For the realms (Sleevé Premium)"/>
    <n v="25"/>
    <n v="2"/>
    <x v="0"/>
    <n v="0"/>
    <n v="23"/>
  </r>
  <r>
    <x v="2"/>
    <s v="Manhattan (Sleevé) +  (Pimpé 3D)"/>
    <n v="25"/>
    <n v="2"/>
    <x v="0"/>
    <n v="0"/>
    <n v="23"/>
  </r>
  <r>
    <x v="2"/>
    <s v="Neom (Pimpé 3D)"/>
    <n v="30"/>
    <n v="2"/>
    <x v="0"/>
    <n v="0"/>
    <n v="28"/>
  </r>
  <r>
    <x v="2"/>
    <s v="Olympos"/>
    <n v="30"/>
    <n v="2"/>
    <x v="0"/>
    <n v="0"/>
    <n v="28"/>
  </r>
  <r>
    <x v="2"/>
    <s v="Outlive (Sleevé Premium)"/>
    <n v="40"/>
    <n v="2"/>
    <x v="0"/>
    <n v="0"/>
    <n v="38"/>
  </r>
  <r>
    <x v="2"/>
    <s v="Planet (Sleevé Premium)"/>
    <n v="30"/>
    <n v="2"/>
    <x v="0"/>
    <n v="0"/>
    <n v="28"/>
  </r>
  <r>
    <x v="2"/>
    <s v="Red7"/>
    <n v="10"/>
    <n v="2"/>
    <x v="0"/>
    <n v="0"/>
    <n v="8"/>
  </r>
  <r>
    <x v="2"/>
    <s v="Rise to Nobility"/>
    <n v="40"/>
    <n v="2"/>
    <x v="0"/>
    <n v="0"/>
    <n v="38"/>
  </r>
  <r>
    <x v="2"/>
    <s v="Staufer Dynasty"/>
    <n v="30"/>
    <n v="2"/>
    <x v="0"/>
    <n v="0"/>
    <n v="28"/>
  </r>
  <r>
    <x v="2"/>
    <s v="Tales of Glory (Pimpé 3D)"/>
    <n v="30"/>
    <n v="2"/>
    <x v="0"/>
    <n v="0"/>
    <n v="28"/>
  </r>
  <r>
    <x v="2"/>
    <s v="Tiny Towns (Sleevé Premium)"/>
    <n v="30"/>
    <n v="2"/>
    <x v="0"/>
    <n v="0"/>
    <n v="28"/>
  </r>
  <r>
    <x v="2"/>
    <s v="Towers of Arkhanos (Sleevé Premium)"/>
    <n v="30"/>
    <n v="2"/>
    <x v="0"/>
    <n v="0"/>
    <n v="28"/>
  </r>
  <r>
    <x v="2"/>
    <s v="Twelve Heroes"/>
    <n v="15"/>
    <n v="2"/>
    <x v="0"/>
    <n v="0"/>
    <n v="13"/>
  </r>
  <r>
    <x v="2"/>
    <s v="Ugly Christmas Sweaters"/>
    <n v="15"/>
    <n v="2"/>
    <x v="0"/>
    <n v="0"/>
    <n v="13"/>
  </r>
  <r>
    <x v="2"/>
    <s v="Viceroy"/>
    <n v="25"/>
    <n v="2"/>
    <x v="0"/>
    <n v="0"/>
    <n v="23"/>
  </r>
  <r>
    <x v="2"/>
    <s v="Vikings gone wild (+ Master of elements + Ragnarok)"/>
    <n v="80"/>
    <n v="2"/>
    <x v="0"/>
    <n v="0"/>
    <n v="78"/>
  </r>
  <r>
    <x v="2"/>
    <s v="Yangtze"/>
    <n v="25"/>
    <n v="2"/>
    <x v="0"/>
    <n v="0"/>
    <n v="23"/>
  </r>
  <r>
    <x v="3"/>
    <s v="Destin de Voleurs"/>
    <n v="20"/>
    <n v="2"/>
    <x v="0"/>
    <n v="0"/>
    <n v="18"/>
  </r>
  <r>
    <x v="3"/>
    <s v="A Thief’s Fortune"/>
    <n v="15"/>
    <n v="2"/>
    <x v="0"/>
    <n v="0"/>
    <n v="13"/>
  </r>
  <r>
    <x v="3"/>
    <s v="Nyctophobia"/>
    <n v="20"/>
    <n v="2"/>
    <x v="0"/>
    <n v="0"/>
    <n v="18"/>
  </r>
  <r>
    <x v="3"/>
    <s v="Tag City"/>
    <n v="10"/>
    <n v="2"/>
    <x v="0"/>
    <n v="0"/>
    <n v="8"/>
  </r>
  <r>
    <x v="3"/>
    <s v="Amul"/>
    <n v="15"/>
    <n v="2"/>
    <x v="0"/>
    <n v="0"/>
    <n v="13"/>
  </r>
  <r>
    <x v="3"/>
    <s v="Polynesia"/>
    <n v="25"/>
    <n v="2"/>
    <x v="0"/>
    <n v="0"/>
    <n v="23"/>
  </r>
  <r>
    <x v="3"/>
    <s v="Mutants"/>
    <n v="15"/>
    <n v="2"/>
    <x v="0"/>
    <n v="0"/>
    <n v="13"/>
  </r>
  <r>
    <x v="3"/>
    <s v="Chimera Station"/>
    <n v="35"/>
    <n v="2"/>
    <x v="0"/>
    <n v="0"/>
    <n v="33"/>
  </r>
  <r>
    <x v="3"/>
    <s v="Flipships"/>
    <n v="15"/>
    <n v="2"/>
    <x v="0"/>
    <n v="0"/>
    <n v="13"/>
  </r>
  <r>
    <x v="3"/>
    <s v="Visitor in Blackwood Grove"/>
    <n v="10"/>
    <n v="2"/>
    <x v="0"/>
    <n v="0"/>
    <n v="8"/>
  </r>
  <r>
    <x v="3"/>
    <s v="Mini Rogue"/>
    <n v="15"/>
    <n v="2"/>
    <x v="0"/>
    <n v="0"/>
    <n v="13"/>
  </r>
  <r>
    <x v="3"/>
    <s v="Brikks"/>
    <n v="10"/>
    <n v="2"/>
    <x v="0"/>
    <n v="0"/>
    <n v="8"/>
  </r>
  <r>
    <x v="3"/>
    <s v="Blitzkrieg"/>
    <n v="30"/>
    <n v="2"/>
    <x v="0"/>
    <n v="0"/>
    <n v="28"/>
  </r>
  <r>
    <x v="3"/>
    <s v="Greece Lightning"/>
    <n v="20"/>
    <n v="2"/>
    <x v="0"/>
    <n v="0"/>
    <n v="18"/>
  </r>
  <r>
    <x v="3"/>
    <s v="Dicium"/>
    <n v="35"/>
    <n v="2"/>
    <x v="0"/>
    <n v="0"/>
    <n v="33"/>
  </r>
  <r>
    <x v="3"/>
    <s v="Above"/>
    <n v="35"/>
    <n v="2"/>
    <x v="0"/>
    <n v="0"/>
    <n v="33"/>
  </r>
  <r>
    <x v="3"/>
    <s v="5 Minutes Dungeon"/>
    <n v="20"/>
    <n v="2"/>
    <x v="0"/>
    <n v="0"/>
    <n v="18"/>
  </r>
  <r>
    <x v="3"/>
    <s v="The Grimm Mascarade"/>
    <n v="10"/>
    <n v="2"/>
    <x v="0"/>
    <n v="0"/>
    <n v="8"/>
  </r>
  <r>
    <x v="3"/>
    <s v="Glory – Un jeu de chevalier"/>
    <n v="55"/>
    <n v="2"/>
    <x v="0"/>
    <n v="0"/>
    <n v="53"/>
  </r>
  <r>
    <x v="4"/>
    <s v="Mathable"/>
    <n v="10"/>
    <n v="2"/>
    <x v="0"/>
    <n v="0"/>
    <n v="8"/>
  </r>
  <r>
    <x v="4"/>
    <s v="Century (La route des épices)"/>
    <n v="20"/>
    <n v="2"/>
    <x v="0"/>
    <n v="0"/>
    <n v="18"/>
  </r>
  <r>
    <x v="4"/>
    <s v="5 minutes Dungeon"/>
    <n v="10"/>
    <n v="2"/>
    <x v="0"/>
    <n v="0"/>
    <n v="8"/>
  </r>
  <r>
    <x v="4"/>
    <s v="Les aventuriers du rail (New-York)"/>
    <n v="10"/>
    <n v="2"/>
    <x v="0"/>
    <n v="0"/>
    <n v="8"/>
  </r>
  <r>
    <x v="4"/>
    <s v="McWiz"/>
    <n v="20"/>
    <n v="2"/>
    <x v="0"/>
    <n v="0"/>
    <n v="18"/>
  </r>
  <r>
    <x v="4"/>
    <s v="Catan (jeu de base)"/>
    <n v="15"/>
    <n v="2"/>
    <x v="0"/>
    <n v="0"/>
    <n v="13"/>
  </r>
  <r>
    <x v="4"/>
    <s v="The magic Labyrinth"/>
    <n v="10"/>
    <n v="2"/>
    <x v="0"/>
    <n v="0"/>
    <n v="8"/>
  </r>
  <r>
    <x v="4"/>
    <s v="Pavillon noir (Fortunes de mer)"/>
    <n v="10"/>
    <n v="2"/>
    <x v="0"/>
    <n v="0"/>
    <n v="8"/>
  </r>
  <r>
    <x v="4"/>
    <s v="Atlandice"/>
    <n v="20"/>
    <n v="2"/>
    <x v="0"/>
    <n v="0"/>
    <n v="18"/>
  </r>
  <r>
    <x v="4"/>
    <s v="Citadelles"/>
    <n v="15"/>
    <n v="2"/>
    <x v="0"/>
    <n v="0"/>
    <n v="13"/>
  </r>
  <r>
    <x v="4"/>
    <s v="Party de cons"/>
    <n v="10"/>
    <n v="2"/>
    <x v="0"/>
    <n v="0"/>
    <n v="8"/>
  </r>
  <r>
    <x v="4"/>
    <s v="Deal"/>
    <n v="5"/>
    <n v="2"/>
    <x v="0"/>
    <n v="0"/>
    <n v="3"/>
  </r>
  <r>
    <x v="4"/>
    <s v="20 sec"/>
    <n v="5"/>
    <n v="2"/>
    <x v="0"/>
    <n v="0"/>
    <n v="3"/>
  </r>
  <r>
    <x v="5"/>
    <s v="Les Voyages de Marco Polo 1ère édition 2015"/>
    <n v="20"/>
    <n v="2"/>
    <x v="0"/>
    <n v="0"/>
    <n v="18"/>
  </r>
  <r>
    <x v="5"/>
    <s v="Dolores (Français)"/>
    <n v="3"/>
    <n v="2"/>
    <x v="1"/>
    <n v="0"/>
    <n v="1"/>
  </r>
  <r>
    <x v="5"/>
    <s v="Les aventuriers du rail (Marklin)"/>
    <n v="40"/>
    <n v="2"/>
    <x v="0"/>
    <n v="0"/>
    <n v="38"/>
  </r>
  <r>
    <x v="5"/>
    <s v="Extension 7 Wonders Babel"/>
    <n v="25"/>
    <n v="2"/>
    <x v="0"/>
    <n v="0"/>
    <n v="23"/>
  </r>
  <r>
    <x v="5"/>
    <s v="Charlock Holmes: Sur la piste de Fourriarty"/>
    <n v="15"/>
    <n v="2"/>
    <x v="0"/>
    <n v="0"/>
    <n v="13"/>
  </r>
  <r>
    <x v="5"/>
    <s v="Dino Party (Multilingue)"/>
    <n v="15"/>
    <n v="2"/>
    <x v="0"/>
    <n v="0"/>
    <n v="13"/>
  </r>
  <r>
    <x v="5"/>
    <s v="Martians: A story of civilisation (multilingue)"/>
    <n v="40"/>
    <n v="2"/>
    <x v="0"/>
    <n v="0"/>
    <n v="38"/>
  </r>
  <r>
    <x v="5"/>
    <s v="Meduris (Multilingue)"/>
    <n v="25"/>
    <n v="2"/>
    <x v="0"/>
    <n v="0"/>
    <n v="23"/>
  </r>
  <r>
    <x v="5"/>
    <s v="Nomads (anglais)"/>
    <n v="5"/>
    <n v="2"/>
    <x v="0"/>
    <n v="0"/>
    <n v="3"/>
  </r>
  <r>
    <x v="5"/>
    <s v="Onirim 2e édition (français)"/>
    <n v="5"/>
    <n v="2"/>
    <x v="0"/>
    <n v="0"/>
    <n v="3"/>
  </r>
  <r>
    <x v="5"/>
    <s v="Orcs Orcs Orcs (multilingue)"/>
    <n v="25"/>
    <n v="2"/>
    <x v="0"/>
    <n v="0"/>
    <n v="23"/>
  </r>
  <r>
    <x v="5"/>
    <s v="Roll Player (Jeu de base) (anglais)"/>
    <n v="35"/>
    <n v="2"/>
    <x v="0"/>
    <n v="0"/>
    <n v="33"/>
  </r>
  <r>
    <x v="5"/>
    <s v="Roll Player: Fiends &amp; Familiars BigBox  (anglais)"/>
    <n v="40"/>
    <n v="2"/>
    <x v="0"/>
    <n v="0"/>
    <n v="38"/>
  </r>
  <r>
    <x v="5"/>
    <s v="Roll Player: Monsters &amp; Minions (anglais)"/>
    <n v="40"/>
    <n v="2"/>
    <x v="0"/>
    <n v="0"/>
    <n v="38"/>
  </r>
  <r>
    <x v="5"/>
    <s v="Shards of infinity (anglais)"/>
    <n v="12"/>
    <n v="2"/>
    <x v="0"/>
    <n v="0"/>
    <n v="10"/>
  </r>
  <r>
    <x v="5"/>
    <s v="Shards of infinity: Relic of the future (anglais)"/>
    <n v="5"/>
    <n v="2"/>
    <x v="0"/>
    <n v="0"/>
    <n v="3"/>
  </r>
  <r>
    <x v="5"/>
    <s v="Smallworld Underground + extension (Français)"/>
    <n v="40"/>
    <n v="2"/>
    <x v="0"/>
    <n v="0"/>
    <n v="38"/>
  </r>
  <r>
    <x v="5"/>
    <s v="Sorcerer (anglais)"/>
    <n v="35"/>
    <n v="2"/>
    <x v="0"/>
    <n v="0"/>
    <n v="33"/>
  </r>
  <r>
    <x v="5"/>
    <s v="Taverna (bilingue)"/>
    <n v="25"/>
    <n v="2"/>
    <x v="0"/>
    <n v="0"/>
    <n v="23"/>
  </r>
  <r>
    <x v="5"/>
    <s v="Andor (Français)"/>
    <n v="55"/>
    <n v="2"/>
    <x v="0"/>
    <n v="0"/>
    <n v="53"/>
  </r>
  <r>
    <x v="5"/>
    <s v="4 Gods (Français)"/>
    <n v="15"/>
    <n v="2"/>
    <x v="0"/>
    <n v="0"/>
    <n v="13"/>
  </r>
  <r>
    <x v="5"/>
    <s v="Khronos (Multilingue)"/>
    <n v="15"/>
    <n v="2"/>
    <x v="0"/>
    <n v="0"/>
    <n v="13"/>
  </r>
  <r>
    <x v="5"/>
    <s v="Civilization : Une aube nouvelle (Français)"/>
    <n v="40"/>
    <n v="2"/>
    <x v="0"/>
    <n v="0"/>
    <n v="38"/>
  </r>
  <r>
    <x v="5"/>
    <s v="Soirée Potion: Riton la main noire (Français)"/>
    <n v="3"/>
    <n v="2"/>
    <x v="0"/>
    <n v="0"/>
    <n v="1"/>
  </r>
  <r>
    <x v="5"/>
    <s v="Zombies!! (Français)"/>
    <n v="3"/>
    <n v="2"/>
    <x v="0"/>
    <n v="0"/>
    <n v="1"/>
  </r>
  <r>
    <x v="5"/>
    <s v="Looterz (Anglais)"/>
    <n v="5"/>
    <n v="2"/>
    <x v="0"/>
    <n v="0"/>
    <n v="3"/>
  </r>
  <r>
    <x v="5"/>
    <s v="Doggy Bag (Bilingue)"/>
    <n v="10"/>
    <n v="2"/>
    <x v="0"/>
    <n v="0"/>
    <n v="8"/>
  </r>
  <r>
    <x v="5"/>
    <s v="Keyforge (Anglais)"/>
    <n v="4"/>
    <n v="2"/>
    <x v="0"/>
    <n v="0"/>
    <n v="2"/>
  </r>
  <r>
    <x v="5"/>
    <s v="Keyforge (Anglais)"/>
    <n v="4"/>
    <n v="2"/>
    <x v="0"/>
    <n v="0"/>
    <n v="2"/>
  </r>
  <r>
    <x v="5"/>
    <s v="Dungeon Drop: Dropped toodeep (Anglais)"/>
    <n v="20"/>
    <n v="2"/>
    <x v="0"/>
    <n v="0"/>
    <n v="18"/>
  </r>
  <r>
    <x v="5"/>
    <s v="Profiler (Français)"/>
    <n v="3"/>
    <n v="2"/>
    <x v="0"/>
    <n v="0"/>
    <n v="1"/>
  </r>
  <r>
    <x v="5"/>
    <s v="Drown to adventure (Anglais)"/>
    <n v="12"/>
    <n v="2"/>
    <x v="0"/>
    <n v="0"/>
    <n v="10"/>
  </r>
  <r>
    <x v="5"/>
    <s v="RockBand Manager (Français)"/>
    <n v="3"/>
    <n v="2"/>
    <x v="0"/>
    <n v="0"/>
    <n v="1"/>
  </r>
  <r>
    <x v="5"/>
    <s v="Occupation double le jeu"/>
    <n v="15"/>
    <n v="2"/>
    <x v="0"/>
    <n v="0"/>
    <n v="13"/>
  </r>
  <r>
    <x v="6"/>
    <s v="Question Impossible"/>
    <n v="7"/>
    <n v="2"/>
    <x v="0"/>
    <n v="0"/>
    <n v="5"/>
  </r>
  <r>
    <x v="6"/>
    <s v="Cranium"/>
    <n v="15"/>
    <n v="2"/>
    <x v="0"/>
    <n v="0"/>
    <n v="13"/>
  </r>
  <r>
    <x v="6"/>
    <s v="Guesstures"/>
    <n v="10"/>
    <n v="2"/>
    <x v="0"/>
    <n v="0"/>
    <n v="8"/>
  </r>
  <r>
    <x v="6"/>
    <s v="Pique-mots"/>
    <n v="20"/>
    <n v="2"/>
    <x v="0"/>
    <n v="0"/>
    <n v="18"/>
  </r>
  <r>
    <x v="6"/>
    <s v="Dog crimes"/>
    <n v="15"/>
    <n v="2"/>
    <x v="0"/>
    <n v="0"/>
    <n v="13"/>
  </r>
  <r>
    <x v="6"/>
    <s v="Nainportequoi"/>
    <n v="20"/>
    <n v="2"/>
    <x v="0"/>
    <n v="0"/>
    <n v="18"/>
  </r>
  <r>
    <x v="7"/>
    <s v="Il était une fois"/>
    <n v="5"/>
    <n v="0"/>
    <x v="0"/>
    <n v="0"/>
    <n v="5"/>
  </r>
  <r>
    <x v="7"/>
    <s v="Mission Calaveras"/>
    <n v="10"/>
    <n v="0"/>
    <x v="0"/>
    <n v="0"/>
    <n v="10"/>
  </r>
  <r>
    <x v="7"/>
    <s v="Repliques &amp; CO"/>
    <n v="15"/>
    <n v="0"/>
    <x v="0"/>
    <n v="0"/>
    <n v="15"/>
  </r>
  <r>
    <x v="7"/>
    <s v="Costa Ruana"/>
    <n v="10"/>
    <n v="0"/>
    <x v="0"/>
    <n v="0"/>
    <n v="10"/>
  </r>
  <r>
    <x v="7"/>
    <s v="My Little Scythe (VA)"/>
    <n v="30"/>
    <n v="0"/>
    <x v="0"/>
    <n v="0"/>
    <n v="30"/>
  </r>
  <r>
    <x v="7"/>
    <s v="Dr. Beaker"/>
    <n v="20"/>
    <n v="0"/>
    <x v="0"/>
    <n v="0"/>
    <n v="20"/>
  </r>
  <r>
    <x v="7"/>
    <s v="Spinderella"/>
    <n v="20"/>
    <n v="0"/>
    <x v="0"/>
    <n v="0"/>
    <n v="20"/>
  </r>
  <r>
    <x v="7"/>
    <s v="Breaking BAD"/>
    <n v="20"/>
    <n v="0"/>
    <x v="0"/>
    <n v="0"/>
    <n v="20"/>
  </r>
  <r>
    <x v="7"/>
    <s v="MontMurail"/>
    <n v="30"/>
    <n v="0"/>
    <x v="0"/>
    <n v="0"/>
    <n v="30"/>
  </r>
  <r>
    <x v="7"/>
    <s v="Dinosaur Island"/>
    <n v="50"/>
    <n v="0"/>
    <x v="0"/>
    <n v="0"/>
    <n v="50"/>
  </r>
  <r>
    <x v="7"/>
    <s v="Colt Express "/>
    <n v="30"/>
    <n v="0"/>
    <x v="0"/>
    <n v="0"/>
    <n v="30"/>
  </r>
  <r>
    <x v="7"/>
    <s v="Relic runners"/>
    <n v="40"/>
    <n v="0"/>
    <x v="0"/>
    <n v="0"/>
    <n v="40"/>
  </r>
  <r>
    <x v="7"/>
    <s v="Robin hoot and the merry men(KS)"/>
    <n v="50"/>
    <n v="0"/>
    <x v="0"/>
    <n v="0"/>
    <n v="50"/>
  </r>
  <r>
    <x v="7"/>
    <s v="Quorridor junior"/>
    <n v="15"/>
    <n v="0"/>
    <x v="0"/>
    <n v="0"/>
    <n v="15"/>
  </r>
  <r>
    <x v="7"/>
    <s v="Mammut"/>
    <n v="25"/>
    <n v="0"/>
    <x v="0"/>
    <n v="0"/>
    <n v="25"/>
  </r>
  <r>
    <x v="7"/>
    <s v="Smartphone KS"/>
    <n v="50"/>
    <n v="0"/>
    <x v="0"/>
    <n v="0"/>
    <n v="5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  <r>
    <x v="8"/>
    <m/>
    <m/>
    <m/>
    <x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56E84A-B139-8F4B-AB3B-48DBA1816E5E}" name="Tableau croisé dynamique2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1">
  <location ref="A3:D4" firstHeaderRow="0" firstDataRow="1" firstDataCol="1" rowPageCount="1" colPageCount="1"/>
  <pivotFields count="7">
    <pivotField axis="axisRow" showAll="0" sortType="ascending">
      <items count="26">
        <item x="1"/>
        <item x="6"/>
        <item m="1" x="23"/>
        <item m="1" x="21"/>
        <item m="1" x="19"/>
        <item x="0"/>
        <item m="1" x="15"/>
        <item m="1" x="14"/>
        <item x="3"/>
        <item m="1" x="10"/>
        <item m="1" x="20"/>
        <item m="1" x="18"/>
        <item m="1" x="17"/>
        <item x="4"/>
        <item m="1" x="12"/>
        <item x="7"/>
        <item m="1" x="16"/>
        <item m="1" x="9"/>
        <item x="5"/>
        <item x="2"/>
        <item m="1" x="11"/>
        <item m="1" x="24"/>
        <item m="1" x="13"/>
        <item m="1" x="22"/>
        <item x="8"/>
        <item t="default"/>
      </items>
    </pivotField>
    <pivotField dataField="1" showAll="0"/>
    <pivotField dataField="1" showAll="0"/>
    <pivotField showAll="0"/>
    <pivotField axis="axisPage" multipleItemSelectionAllowed="1" showAll="0">
      <items count="4">
        <item m="1" x="2"/>
        <item h="1" x="0"/>
        <item h="1" x="1"/>
        <item t="default"/>
      </items>
    </pivotField>
    <pivotField showAll="0"/>
    <pivotField dataField="1" numFmtId="44" showAl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4" hier="-1"/>
  </pageFields>
  <dataFields count="3">
    <dataField name="Somme de Prix" fld="2" baseField="0" baseItem="0"/>
    <dataField name="Somme de Montant pour le vendeur" fld="6" baseField="0" baseItem="0"/>
    <dataField name="Nombre de Jeu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0514AD-F72A-D04E-8CAF-3CCF39C87F49}" name="Tableau1" displayName="Tableau1" ref="A1:G36" totalsRowShown="0">
  <autoFilter ref="A1:G36" xr:uid="{1E0514AD-F72A-D04E-8CAF-3CCF39C87F49}"/>
  <tableColumns count="7">
    <tableColumn id="1" xr3:uid="{D0C46900-9B39-0C42-B295-0895312E7E4D}" name="Item"/>
    <tableColumn id="2" xr3:uid="{20662F58-9022-4241-BBA0-720901806F19}" name="Acheté"/>
    <tableColumn id="3" xr3:uid="{5FEB6945-18D0-6841-BC36-772E2BCBADF1}" name="Restant"/>
    <tableColumn id="4" xr3:uid="{1D9C47FF-F85B-F74B-88A0-67D877008048}" name="Vendu">
      <calculatedColumnFormula>B2-C2</calculatedColumnFormula>
    </tableColumn>
    <tableColumn id="5" xr3:uid="{54B1D46B-4463-4C4D-B78E-E4802E466236}" name="Prix" dataDxfId="2" dataCellStyle="Monétaire"/>
    <tableColumn id="6" xr3:uid="{FDBD5AE9-1B80-CC44-BE8F-BB5584C7A527}" name="$" dataDxfId="1" dataCellStyle="Monétaire">
      <calculatedColumnFormula>D2*E2</calculatedColumnFormula>
    </tableColumn>
    <tableColumn id="7" xr3:uid="{63206A9A-46FC-C949-9554-6F772E5044EE}" name="Profit" dataDxfId="0">
      <calculatedColumnFormula>'Budget-Cantine'!M3*Tableau1[[#This Row],[Vendu]]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4EA69-D0D3-FE4D-9637-7BDD584F243F}">
  <sheetPr codeName="Feuil3"/>
  <dimension ref="A1:D245"/>
  <sheetViews>
    <sheetView zoomScale="91" workbookViewId="0">
      <selection activeCell="A5" sqref="A5"/>
    </sheetView>
  </sheetViews>
  <sheetFormatPr baseColWidth="10" defaultColWidth="10.83203125" defaultRowHeight="16"/>
  <cols>
    <col min="1" max="1" width="20.6640625" bestFit="1" customWidth="1"/>
    <col min="2" max="2" width="20.83203125" style="1" bestFit="1" customWidth="1"/>
    <col min="3" max="3" width="32.6640625" style="1" bestFit="1" customWidth="1"/>
    <col min="4" max="4" width="14.1640625" bestFit="1" customWidth="1"/>
    <col min="5" max="5" width="26.5" bestFit="1" customWidth="1"/>
  </cols>
  <sheetData>
    <row r="1" spans="1:4">
      <c r="A1" s="4" t="s">
        <v>6</v>
      </c>
      <c r="B1" t="s">
        <v>14</v>
      </c>
      <c r="C1" s="3">
        <f>GETPIVOTDATA("Somme de Prix",$A$3)</f>
        <v>0</v>
      </c>
      <c r="D1" s="6">
        <f>GETPIVOTDATA("Nombre de Jeu",$A$3)/234</f>
        <v>0</v>
      </c>
    </row>
    <row r="3" spans="1:4">
      <c r="A3" s="4" t="s">
        <v>1</v>
      </c>
      <c r="B3" t="s">
        <v>4</v>
      </c>
      <c r="C3" t="s">
        <v>5</v>
      </c>
      <c r="D3" t="s">
        <v>3</v>
      </c>
    </row>
    <row r="4" spans="1:4">
      <c r="A4" s="5" t="s">
        <v>2</v>
      </c>
      <c r="B4"/>
      <c r="C4"/>
    </row>
    <row r="5" spans="1:4" ht="17" customHeight="1">
      <c r="B5"/>
      <c r="C5"/>
    </row>
    <row r="6" spans="1:4">
      <c r="B6"/>
      <c r="C6"/>
    </row>
    <row r="7" spans="1:4">
      <c r="B7"/>
      <c r="C7"/>
    </row>
    <row r="8" spans="1:4">
      <c r="B8"/>
      <c r="C8"/>
    </row>
    <row r="9" spans="1:4">
      <c r="B9"/>
      <c r="C9"/>
    </row>
    <row r="10" spans="1:4">
      <c r="B10"/>
      <c r="C10"/>
    </row>
    <row r="11" spans="1:4">
      <c r="B11"/>
      <c r="C11"/>
    </row>
    <row r="12" spans="1:4">
      <c r="B12"/>
      <c r="C12"/>
    </row>
    <row r="13" spans="1:4">
      <c r="B13"/>
      <c r="C13"/>
    </row>
    <row r="14" spans="1:4">
      <c r="B14"/>
      <c r="C14"/>
    </row>
    <row r="15" spans="1:4">
      <c r="B15"/>
      <c r="C15"/>
    </row>
    <row r="16" spans="1:4">
      <c r="B16"/>
      <c r="C16"/>
    </row>
    <row r="17" spans="2:3">
      <c r="B17"/>
      <c r="C17"/>
    </row>
    <row r="18" spans="2:3">
      <c r="B18"/>
      <c r="C18"/>
    </row>
    <row r="19" spans="2:3">
      <c r="B19"/>
      <c r="C19"/>
    </row>
    <row r="20" spans="2:3">
      <c r="B20"/>
      <c r="C20"/>
    </row>
    <row r="21" spans="2:3">
      <c r="B21"/>
      <c r="C21"/>
    </row>
    <row r="22" spans="2:3">
      <c r="B22"/>
      <c r="C22"/>
    </row>
    <row r="23" spans="2:3">
      <c r="B23"/>
      <c r="C23"/>
    </row>
    <row r="24" spans="2:3">
      <c r="B24"/>
      <c r="C24"/>
    </row>
    <row r="25" spans="2:3">
      <c r="B25"/>
      <c r="C25"/>
    </row>
    <row r="26" spans="2:3">
      <c r="B26"/>
      <c r="C26"/>
    </row>
    <row r="27" spans="2:3">
      <c r="B27"/>
      <c r="C27"/>
    </row>
    <row r="28" spans="2:3">
      <c r="B28"/>
      <c r="C28"/>
    </row>
    <row r="29" spans="2:3">
      <c r="B29"/>
      <c r="C29"/>
    </row>
    <row r="30" spans="2:3">
      <c r="B30"/>
      <c r="C30"/>
    </row>
    <row r="31" spans="2:3">
      <c r="B31"/>
      <c r="C3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  <row r="40" spans="2:3">
      <c r="B40"/>
      <c r="C40"/>
    </row>
    <row r="41" spans="2:3">
      <c r="B41"/>
      <c r="C41"/>
    </row>
    <row r="42" spans="2:3">
      <c r="B42"/>
      <c r="C42"/>
    </row>
    <row r="43" spans="2:3">
      <c r="B43"/>
      <c r="C43"/>
    </row>
    <row r="44" spans="2:3">
      <c r="B44"/>
      <c r="C44"/>
    </row>
    <row r="45" spans="2:3">
      <c r="B45"/>
      <c r="C45"/>
    </row>
    <row r="46" spans="2:3">
      <c r="B46"/>
      <c r="C46"/>
    </row>
    <row r="47" spans="2:3">
      <c r="B47"/>
      <c r="C47"/>
    </row>
    <row r="48" spans="2:3">
      <c r="B48"/>
      <c r="C48"/>
    </row>
    <row r="49" spans="2:3">
      <c r="B49"/>
      <c r="C49"/>
    </row>
    <row r="50" spans="2:3">
      <c r="B50"/>
      <c r="C50"/>
    </row>
    <row r="51" spans="2:3">
      <c r="B51"/>
      <c r="C51"/>
    </row>
    <row r="52" spans="2:3">
      <c r="B52"/>
      <c r="C52"/>
    </row>
    <row r="53" spans="2:3">
      <c r="B53"/>
      <c r="C53"/>
    </row>
    <row r="54" spans="2:3">
      <c r="B54"/>
      <c r="C54"/>
    </row>
    <row r="55" spans="2:3">
      <c r="B55"/>
      <c r="C55"/>
    </row>
    <row r="56" spans="2:3">
      <c r="B56"/>
      <c r="C56"/>
    </row>
    <row r="57" spans="2:3">
      <c r="B57"/>
      <c r="C57"/>
    </row>
    <row r="58" spans="2:3">
      <c r="B58"/>
      <c r="C58"/>
    </row>
    <row r="59" spans="2:3">
      <c r="B59"/>
      <c r="C59"/>
    </row>
    <row r="60" spans="2:3">
      <c r="B60"/>
      <c r="C60"/>
    </row>
    <row r="61" spans="2:3">
      <c r="B61"/>
      <c r="C61"/>
    </row>
    <row r="62" spans="2:3">
      <c r="B62"/>
      <c r="C62"/>
    </row>
    <row r="63" spans="2:3">
      <c r="B63"/>
      <c r="C63"/>
    </row>
    <row r="64" spans="2:3">
      <c r="B64"/>
      <c r="C64"/>
    </row>
    <row r="65" spans="2:3">
      <c r="B65"/>
      <c r="C65"/>
    </row>
    <row r="66" spans="2:3">
      <c r="B66"/>
      <c r="C66"/>
    </row>
    <row r="67" spans="2:3">
      <c r="B67"/>
      <c r="C67"/>
    </row>
    <row r="68" spans="2:3">
      <c r="B68"/>
      <c r="C68"/>
    </row>
    <row r="69" spans="2:3">
      <c r="B69"/>
      <c r="C69"/>
    </row>
    <row r="70" spans="2:3">
      <c r="B70"/>
      <c r="C70"/>
    </row>
    <row r="71" spans="2:3">
      <c r="B71"/>
      <c r="C71"/>
    </row>
    <row r="72" spans="2:3">
      <c r="B72"/>
      <c r="C72"/>
    </row>
    <row r="73" spans="2:3">
      <c r="B73"/>
      <c r="C73"/>
    </row>
    <row r="74" spans="2:3">
      <c r="B74"/>
      <c r="C74"/>
    </row>
    <row r="75" spans="2:3">
      <c r="B75"/>
      <c r="C75"/>
    </row>
    <row r="76" spans="2:3">
      <c r="B76"/>
      <c r="C76"/>
    </row>
    <row r="77" spans="2:3">
      <c r="B77"/>
      <c r="C77"/>
    </row>
    <row r="78" spans="2:3">
      <c r="B78"/>
      <c r="C78"/>
    </row>
    <row r="79" spans="2:3">
      <c r="B79"/>
      <c r="C79"/>
    </row>
    <row r="80" spans="2:3">
      <c r="B80"/>
      <c r="C80"/>
    </row>
    <row r="81" spans="2:3">
      <c r="B81"/>
      <c r="C81"/>
    </row>
    <row r="82" spans="2:3">
      <c r="B82"/>
      <c r="C82"/>
    </row>
    <row r="83" spans="2:3">
      <c r="B83"/>
      <c r="C83"/>
    </row>
    <row r="84" spans="2:3">
      <c r="B84"/>
      <c r="C84"/>
    </row>
    <row r="85" spans="2:3">
      <c r="B85"/>
      <c r="C85"/>
    </row>
    <row r="86" spans="2:3">
      <c r="B86"/>
      <c r="C86"/>
    </row>
    <row r="87" spans="2:3">
      <c r="B87"/>
      <c r="C87"/>
    </row>
    <row r="88" spans="2:3">
      <c r="B88"/>
      <c r="C88"/>
    </row>
    <row r="89" spans="2:3">
      <c r="B89"/>
      <c r="C89"/>
    </row>
    <row r="90" spans="2:3">
      <c r="B90"/>
      <c r="C90"/>
    </row>
    <row r="91" spans="2:3">
      <c r="B91"/>
      <c r="C91"/>
    </row>
    <row r="92" spans="2:3">
      <c r="B92"/>
      <c r="C92"/>
    </row>
    <row r="93" spans="2:3">
      <c r="B93"/>
      <c r="C93"/>
    </row>
    <row r="94" spans="2:3">
      <c r="B94"/>
      <c r="C94"/>
    </row>
    <row r="95" spans="2:3">
      <c r="B95"/>
      <c r="C95"/>
    </row>
    <row r="96" spans="2:3">
      <c r="B96"/>
      <c r="C96"/>
    </row>
    <row r="97" spans="2:3">
      <c r="B97"/>
      <c r="C97"/>
    </row>
    <row r="98" spans="2:3">
      <c r="B98"/>
      <c r="C98"/>
    </row>
    <row r="99" spans="2:3">
      <c r="B99"/>
      <c r="C99"/>
    </row>
    <row r="100" spans="2:3">
      <c r="B100"/>
      <c r="C100"/>
    </row>
    <row r="101" spans="2:3">
      <c r="B101"/>
      <c r="C101"/>
    </row>
    <row r="102" spans="2:3">
      <c r="B102"/>
      <c r="C102"/>
    </row>
    <row r="103" spans="2:3">
      <c r="B103"/>
      <c r="C103"/>
    </row>
    <row r="104" spans="2:3">
      <c r="B104"/>
      <c r="C104"/>
    </row>
    <row r="105" spans="2:3">
      <c r="B105"/>
      <c r="C105"/>
    </row>
    <row r="106" spans="2:3">
      <c r="B106"/>
      <c r="C106"/>
    </row>
    <row r="107" spans="2:3">
      <c r="B107"/>
      <c r="C107"/>
    </row>
    <row r="108" spans="2:3">
      <c r="B108"/>
      <c r="C108"/>
    </row>
    <row r="109" spans="2:3">
      <c r="B109"/>
      <c r="C109"/>
    </row>
    <row r="110" spans="2:3">
      <c r="B110"/>
      <c r="C110"/>
    </row>
    <row r="111" spans="2:3">
      <c r="B111"/>
      <c r="C111"/>
    </row>
    <row r="112" spans="2:3">
      <c r="B112"/>
      <c r="C112"/>
    </row>
    <row r="113" spans="2:3">
      <c r="B113"/>
      <c r="C113"/>
    </row>
    <row r="114" spans="2:3">
      <c r="B114"/>
      <c r="C114"/>
    </row>
    <row r="115" spans="2:3">
      <c r="B115"/>
      <c r="C115"/>
    </row>
    <row r="116" spans="2:3">
      <c r="B116"/>
      <c r="C116"/>
    </row>
    <row r="117" spans="2:3">
      <c r="B117"/>
      <c r="C117"/>
    </row>
    <row r="118" spans="2:3">
      <c r="B118"/>
      <c r="C118"/>
    </row>
    <row r="119" spans="2:3">
      <c r="B119"/>
      <c r="C119"/>
    </row>
    <row r="120" spans="2:3">
      <c r="B120"/>
      <c r="C120"/>
    </row>
    <row r="121" spans="2:3">
      <c r="B121"/>
      <c r="C121"/>
    </row>
    <row r="122" spans="2:3">
      <c r="B122"/>
      <c r="C122"/>
    </row>
    <row r="123" spans="2:3">
      <c r="B123"/>
      <c r="C123"/>
    </row>
    <row r="124" spans="2:3">
      <c r="B124"/>
      <c r="C124"/>
    </row>
    <row r="125" spans="2:3">
      <c r="B125"/>
      <c r="C125"/>
    </row>
    <row r="126" spans="2:3">
      <c r="B126"/>
      <c r="C126"/>
    </row>
    <row r="127" spans="2:3">
      <c r="B127"/>
      <c r="C127"/>
    </row>
    <row r="128" spans="2:3">
      <c r="B128"/>
      <c r="C128"/>
    </row>
    <row r="129" spans="2:3">
      <c r="B129"/>
      <c r="C129"/>
    </row>
    <row r="130" spans="2:3">
      <c r="B130"/>
      <c r="C130"/>
    </row>
    <row r="131" spans="2:3">
      <c r="B131"/>
      <c r="C131"/>
    </row>
    <row r="132" spans="2:3">
      <c r="B132"/>
      <c r="C132"/>
    </row>
    <row r="133" spans="2:3">
      <c r="B133"/>
      <c r="C133"/>
    </row>
    <row r="134" spans="2:3">
      <c r="B134"/>
      <c r="C134"/>
    </row>
    <row r="135" spans="2:3">
      <c r="B135"/>
      <c r="C135"/>
    </row>
    <row r="136" spans="2:3">
      <c r="B136"/>
      <c r="C136"/>
    </row>
    <row r="137" spans="2:3">
      <c r="B137"/>
      <c r="C137"/>
    </row>
    <row r="138" spans="2:3">
      <c r="B138"/>
      <c r="C138"/>
    </row>
    <row r="139" spans="2:3">
      <c r="B139"/>
      <c r="C139"/>
    </row>
    <row r="140" spans="2:3">
      <c r="B140"/>
      <c r="C140"/>
    </row>
    <row r="141" spans="2:3">
      <c r="B141"/>
      <c r="C141"/>
    </row>
    <row r="142" spans="2:3">
      <c r="B142"/>
      <c r="C142"/>
    </row>
    <row r="143" spans="2:3">
      <c r="B143"/>
      <c r="C143"/>
    </row>
    <row r="144" spans="2:3">
      <c r="B144"/>
      <c r="C144"/>
    </row>
    <row r="145" spans="2:3">
      <c r="B145"/>
      <c r="C145"/>
    </row>
    <row r="146" spans="2:3">
      <c r="B146"/>
      <c r="C146"/>
    </row>
    <row r="147" spans="2:3">
      <c r="B147"/>
      <c r="C147"/>
    </row>
    <row r="148" spans="2:3">
      <c r="B148"/>
      <c r="C148"/>
    </row>
    <row r="149" spans="2:3">
      <c r="B149"/>
      <c r="C149"/>
    </row>
    <row r="150" spans="2:3">
      <c r="B150"/>
      <c r="C150"/>
    </row>
    <row r="151" spans="2:3">
      <c r="B151"/>
      <c r="C151"/>
    </row>
    <row r="152" spans="2:3">
      <c r="B152"/>
      <c r="C152"/>
    </row>
    <row r="153" spans="2:3">
      <c r="B153"/>
      <c r="C153"/>
    </row>
    <row r="154" spans="2:3">
      <c r="B154"/>
      <c r="C154"/>
    </row>
    <row r="155" spans="2:3">
      <c r="B155"/>
      <c r="C155"/>
    </row>
    <row r="156" spans="2:3">
      <c r="B156"/>
      <c r="C156"/>
    </row>
    <row r="157" spans="2:3">
      <c r="B157"/>
      <c r="C157"/>
    </row>
    <row r="158" spans="2:3">
      <c r="B158"/>
      <c r="C158"/>
    </row>
    <row r="159" spans="2:3">
      <c r="B159"/>
      <c r="C159"/>
    </row>
    <row r="160" spans="2:3">
      <c r="B160"/>
      <c r="C160"/>
    </row>
    <row r="161" spans="2:3">
      <c r="B161"/>
      <c r="C161"/>
    </row>
    <row r="162" spans="2:3">
      <c r="B162"/>
      <c r="C162"/>
    </row>
    <row r="163" spans="2:3">
      <c r="B163"/>
      <c r="C163"/>
    </row>
    <row r="164" spans="2:3">
      <c r="B164"/>
      <c r="C164"/>
    </row>
    <row r="165" spans="2:3">
      <c r="B165"/>
      <c r="C165"/>
    </row>
    <row r="166" spans="2:3">
      <c r="B166"/>
      <c r="C166"/>
    </row>
    <row r="167" spans="2:3">
      <c r="B167"/>
      <c r="C167"/>
    </row>
    <row r="168" spans="2:3">
      <c r="B168"/>
      <c r="C168"/>
    </row>
    <row r="169" spans="2:3">
      <c r="B169"/>
      <c r="C169"/>
    </row>
    <row r="170" spans="2:3">
      <c r="B170"/>
      <c r="C170"/>
    </row>
    <row r="171" spans="2:3">
      <c r="B171"/>
      <c r="C171"/>
    </row>
    <row r="172" spans="2:3">
      <c r="B172"/>
      <c r="C172"/>
    </row>
    <row r="173" spans="2:3">
      <c r="B173"/>
      <c r="C173"/>
    </row>
    <row r="174" spans="2:3">
      <c r="B174"/>
      <c r="C174"/>
    </row>
    <row r="175" spans="2:3">
      <c r="B175"/>
      <c r="C175"/>
    </row>
    <row r="176" spans="2:3">
      <c r="B176"/>
      <c r="C176"/>
    </row>
    <row r="177" spans="2:3">
      <c r="B177"/>
      <c r="C177"/>
    </row>
    <row r="178" spans="2:3">
      <c r="B178"/>
      <c r="C178"/>
    </row>
    <row r="179" spans="2:3">
      <c r="B179"/>
      <c r="C179"/>
    </row>
    <row r="180" spans="2:3">
      <c r="B180"/>
      <c r="C180"/>
    </row>
    <row r="181" spans="2:3">
      <c r="B181"/>
      <c r="C181"/>
    </row>
    <row r="182" spans="2:3">
      <c r="B182"/>
      <c r="C182"/>
    </row>
    <row r="183" spans="2:3">
      <c r="B183"/>
      <c r="C183"/>
    </row>
    <row r="184" spans="2:3">
      <c r="B184"/>
      <c r="C184"/>
    </row>
    <row r="185" spans="2:3">
      <c r="B185"/>
      <c r="C185"/>
    </row>
    <row r="186" spans="2:3">
      <c r="B186"/>
      <c r="C186"/>
    </row>
    <row r="187" spans="2:3">
      <c r="B187"/>
      <c r="C187"/>
    </row>
    <row r="188" spans="2:3">
      <c r="B188"/>
      <c r="C188"/>
    </row>
    <row r="189" spans="2:3">
      <c r="B189"/>
      <c r="C189"/>
    </row>
    <row r="190" spans="2:3">
      <c r="B190"/>
      <c r="C190"/>
    </row>
    <row r="191" spans="2:3">
      <c r="B191"/>
      <c r="C191"/>
    </row>
    <row r="192" spans="2:3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  <row r="232" spans="2:3">
      <c r="B232"/>
      <c r="C232"/>
    </row>
    <row r="233" spans="2:3">
      <c r="B233"/>
      <c r="C233"/>
    </row>
    <row r="234" spans="2:3">
      <c r="B234"/>
      <c r="C234"/>
    </row>
    <row r="235" spans="2:3">
      <c r="B235"/>
      <c r="C235"/>
    </row>
    <row r="236" spans="2:3">
      <c r="B236"/>
      <c r="C236"/>
    </row>
    <row r="237" spans="2:3">
      <c r="B237"/>
      <c r="C237"/>
    </row>
    <row r="238" spans="2:3">
      <c r="B238"/>
      <c r="C238"/>
    </row>
    <row r="239" spans="2:3">
      <c r="B239"/>
      <c r="C239"/>
    </row>
    <row r="240" spans="2:3">
      <c r="B240"/>
      <c r="C240"/>
    </row>
    <row r="241" spans="2:3">
      <c r="B241"/>
      <c r="C241"/>
    </row>
    <row r="242" spans="2:3">
      <c r="B242"/>
      <c r="C242"/>
    </row>
    <row r="243" spans="2:3">
      <c r="B243"/>
      <c r="C243"/>
    </row>
    <row r="244" spans="2:3">
      <c r="B244"/>
      <c r="C244"/>
    </row>
    <row r="245" spans="2:3">
      <c r="B245"/>
      <c r="C245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0484F-8D80-9B44-A336-E35929661A94}">
  <dimension ref="A1:D21"/>
  <sheetViews>
    <sheetView workbookViewId="0">
      <selection activeCell="B9" sqref="B9"/>
    </sheetView>
  </sheetViews>
  <sheetFormatPr baseColWidth="10" defaultRowHeight="16"/>
  <sheetData>
    <row r="1" spans="1:4">
      <c r="B1" t="s">
        <v>15</v>
      </c>
      <c r="C1" t="s">
        <v>0</v>
      </c>
      <c r="D1" t="s">
        <v>60</v>
      </c>
    </row>
    <row r="2" spans="1:4">
      <c r="A2" t="s">
        <v>23</v>
      </c>
      <c r="B2">
        <v>0</v>
      </c>
      <c r="C2" s="1">
        <v>1</v>
      </c>
      <c r="D2" s="1">
        <f t="shared" ref="D2:D6" si="0">B2*C2</f>
        <v>0</v>
      </c>
    </row>
    <row r="3" spans="1:4">
      <c r="A3" t="s">
        <v>49</v>
      </c>
      <c r="B3">
        <v>0</v>
      </c>
      <c r="C3" s="1">
        <v>1</v>
      </c>
      <c r="D3" s="1">
        <f t="shared" si="0"/>
        <v>0</v>
      </c>
    </row>
    <row r="4" spans="1:4">
      <c r="A4" t="s">
        <v>50</v>
      </c>
      <c r="B4">
        <v>0</v>
      </c>
      <c r="C4" s="1">
        <v>1</v>
      </c>
      <c r="D4" s="1">
        <f t="shared" si="0"/>
        <v>0</v>
      </c>
    </row>
    <row r="5" spans="1:4">
      <c r="A5" t="s">
        <v>51</v>
      </c>
      <c r="B5">
        <v>0</v>
      </c>
      <c r="C5" s="1">
        <v>2</v>
      </c>
      <c r="D5" s="1">
        <f t="shared" si="0"/>
        <v>0</v>
      </c>
    </row>
    <row r="6" spans="1:4">
      <c r="A6" t="s">
        <v>28</v>
      </c>
      <c r="B6">
        <v>0</v>
      </c>
      <c r="C6" s="1">
        <v>2</v>
      </c>
      <c r="D6" s="1">
        <f t="shared" si="0"/>
        <v>0</v>
      </c>
    </row>
    <row r="7" spans="1:4">
      <c r="A7" t="s">
        <v>16</v>
      </c>
      <c r="B7">
        <v>0</v>
      </c>
      <c r="C7" s="1">
        <v>1</v>
      </c>
      <c r="D7" s="1">
        <f>B7*C7</f>
        <v>0</v>
      </c>
    </row>
    <row r="8" spans="1:4">
      <c r="A8" t="s">
        <v>55</v>
      </c>
      <c r="B8">
        <v>0</v>
      </c>
      <c r="C8" s="1">
        <v>1.5</v>
      </c>
      <c r="D8" s="1">
        <f>B8*C8</f>
        <v>0</v>
      </c>
    </row>
    <row r="21" spans="3:4">
      <c r="C21" t="s">
        <v>10</v>
      </c>
      <c r="D21" s="1">
        <f>SUM(D2:D19)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A873A-1AD9-6B48-A098-13218453ECC6}">
  <dimension ref="A1:G39"/>
  <sheetViews>
    <sheetView workbookViewId="0">
      <selection activeCell="E3" sqref="E3"/>
    </sheetView>
  </sheetViews>
  <sheetFormatPr baseColWidth="10" defaultRowHeight="16"/>
  <cols>
    <col min="1" max="1" width="27" customWidth="1"/>
    <col min="2" max="2" width="11" customWidth="1"/>
  </cols>
  <sheetData>
    <row r="1" spans="1:7">
      <c r="A1" t="s">
        <v>61</v>
      </c>
      <c r="B1" t="s">
        <v>62</v>
      </c>
      <c r="C1" t="s">
        <v>52</v>
      </c>
      <c r="D1" t="s">
        <v>53</v>
      </c>
      <c r="E1" t="s">
        <v>0</v>
      </c>
      <c r="F1" t="s">
        <v>54</v>
      </c>
      <c r="G1" t="s">
        <v>91</v>
      </c>
    </row>
    <row r="2" spans="1:7">
      <c r="A2" t="s">
        <v>17</v>
      </c>
      <c r="B2">
        <v>40</v>
      </c>
      <c r="C2">
        <v>40</v>
      </c>
      <c r="D2">
        <f t="shared" ref="D2:D36" si="0">B2-C2</f>
        <v>0</v>
      </c>
      <c r="E2" s="1">
        <v>1</v>
      </c>
      <c r="F2" s="1">
        <f t="shared" ref="F2:F34" si="1">D2*E2</f>
        <v>0</v>
      </c>
      <c r="G2" s="2"/>
    </row>
    <row r="3" spans="1:7">
      <c r="A3" t="s">
        <v>18</v>
      </c>
      <c r="B3">
        <v>0</v>
      </c>
      <c r="C3">
        <v>0</v>
      </c>
      <c r="D3">
        <f t="shared" si="0"/>
        <v>0</v>
      </c>
      <c r="E3" s="1">
        <v>1.5</v>
      </c>
      <c r="F3" s="1">
        <f t="shared" si="1"/>
        <v>0</v>
      </c>
      <c r="G3" s="2"/>
    </row>
    <row r="4" spans="1:7">
      <c r="A4" t="s">
        <v>19</v>
      </c>
      <c r="B4">
        <v>0</v>
      </c>
      <c r="C4">
        <v>0</v>
      </c>
      <c r="D4">
        <f t="shared" si="0"/>
        <v>0</v>
      </c>
      <c r="E4" s="1">
        <v>1.5</v>
      </c>
      <c r="F4" s="1">
        <f t="shared" si="1"/>
        <v>0</v>
      </c>
      <c r="G4" s="2"/>
    </row>
    <row r="5" spans="1:7">
      <c r="A5" t="s">
        <v>20</v>
      </c>
      <c r="B5">
        <v>0</v>
      </c>
      <c r="C5">
        <v>0</v>
      </c>
      <c r="D5">
        <f t="shared" si="0"/>
        <v>0</v>
      </c>
      <c r="E5" s="1">
        <v>1.5</v>
      </c>
      <c r="F5" s="1">
        <f t="shared" si="1"/>
        <v>0</v>
      </c>
      <c r="G5" s="2"/>
    </row>
    <row r="6" spans="1:7">
      <c r="A6" t="s">
        <v>21</v>
      </c>
      <c r="B6">
        <v>0</v>
      </c>
      <c r="C6">
        <v>0</v>
      </c>
      <c r="D6">
        <f t="shared" si="0"/>
        <v>0</v>
      </c>
      <c r="E6" s="1">
        <v>1.5</v>
      </c>
      <c r="F6" s="1">
        <f t="shared" si="1"/>
        <v>0</v>
      </c>
      <c r="G6" s="2"/>
    </row>
    <row r="7" spans="1:7">
      <c r="A7" t="s">
        <v>22</v>
      </c>
      <c r="B7">
        <v>32</v>
      </c>
      <c r="C7">
        <v>32</v>
      </c>
      <c r="D7">
        <f t="shared" si="0"/>
        <v>0</v>
      </c>
      <c r="E7" s="1">
        <v>1.5</v>
      </c>
      <c r="F7" s="1">
        <f t="shared" si="1"/>
        <v>0</v>
      </c>
      <c r="G7" s="2"/>
    </row>
    <row r="8" spans="1:7">
      <c r="A8" t="s">
        <v>23</v>
      </c>
      <c r="B8">
        <v>12</v>
      </c>
      <c r="C8">
        <v>12</v>
      </c>
      <c r="D8">
        <f t="shared" si="0"/>
        <v>0</v>
      </c>
      <c r="E8" s="1">
        <v>1.5</v>
      </c>
      <c r="F8" s="1">
        <f t="shared" si="1"/>
        <v>0</v>
      </c>
      <c r="G8" s="2"/>
    </row>
    <row r="9" spans="1:7">
      <c r="A9" t="s">
        <v>24</v>
      </c>
      <c r="B9">
        <v>24</v>
      </c>
      <c r="C9">
        <v>24</v>
      </c>
      <c r="D9">
        <f t="shared" si="0"/>
        <v>0</v>
      </c>
      <c r="E9" s="1">
        <v>1.5</v>
      </c>
      <c r="F9" s="1">
        <f t="shared" si="1"/>
        <v>0</v>
      </c>
      <c r="G9" s="2"/>
    </row>
    <row r="10" spans="1:7">
      <c r="A10" t="s">
        <v>25</v>
      </c>
      <c r="B10">
        <v>24</v>
      </c>
      <c r="C10">
        <v>24</v>
      </c>
      <c r="D10">
        <f t="shared" si="0"/>
        <v>0</v>
      </c>
      <c r="E10" s="1">
        <v>1.5</v>
      </c>
      <c r="F10" s="1">
        <f t="shared" si="1"/>
        <v>0</v>
      </c>
      <c r="G10" s="2"/>
    </row>
    <row r="11" spans="1:7">
      <c r="A11" t="s">
        <v>27</v>
      </c>
      <c r="B11">
        <v>24</v>
      </c>
      <c r="C11">
        <v>24</v>
      </c>
      <c r="D11">
        <f t="shared" si="0"/>
        <v>0</v>
      </c>
      <c r="E11" s="1">
        <v>1.5</v>
      </c>
      <c r="F11" s="1">
        <f t="shared" si="1"/>
        <v>0</v>
      </c>
      <c r="G11" s="2"/>
    </row>
    <row r="12" spans="1:7">
      <c r="A12" t="s">
        <v>26</v>
      </c>
      <c r="B12">
        <v>32</v>
      </c>
      <c r="C12">
        <v>32</v>
      </c>
      <c r="D12">
        <f t="shared" si="0"/>
        <v>0</v>
      </c>
      <c r="E12" s="1">
        <v>1.5</v>
      </c>
      <c r="F12" s="1">
        <f t="shared" si="1"/>
        <v>0</v>
      </c>
      <c r="G12" s="2"/>
    </row>
    <row r="13" spans="1:7">
      <c r="A13" t="s">
        <v>29</v>
      </c>
      <c r="B13">
        <v>12</v>
      </c>
      <c r="C13">
        <v>12</v>
      </c>
      <c r="D13">
        <f t="shared" si="0"/>
        <v>0</v>
      </c>
      <c r="E13" s="1">
        <v>1</v>
      </c>
      <c r="F13" s="1">
        <f t="shared" si="1"/>
        <v>0</v>
      </c>
      <c r="G13" s="2"/>
    </row>
    <row r="14" spans="1:7">
      <c r="A14" t="s">
        <v>30</v>
      </c>
      <c r="B14">
        <v>12</v>
      </c>
      <c r="C14">
        <v>12</v>
      </c>
      <c r="D14">
        <f t="shared" si="0"/>
        <v>0</v>
      </c>
      <c r="E14" s="1">
        <v>1</v>
      </c>
      <c r="F14" s="1">
        <f t="shared" si="1"/>
        <v>0</v>
      </c>
      <c r="G14" s="2"/>
    </row>
    <row r="15" spans="1:7">
      <c r="A15" t="s">
        <v>64</v>
      </c>
      <c r="B15">
        <v>6</v>
      </c>
      <c r="C15">
        <v>6</v>
      </c>
      <c r="D15">
        <f t="shared" si="0"/>
        <v>0</v>
      </c>
      <c r="E15" s="1">
        <v>1</v>
      </c>
      <c r="F15" s="1">
        <f t="shared" si="1"/>
        <v>0</v>
      </c>
      <c r="G15" s="2"/>
    </row>
    <row r="16" spans="1:7">
      <c r="A16" t="s">
        <v>63</v>
      </c>
      <c r="B16">
        <v>6</v>
      </c>
      <c r="C16">
        <v>6</v>
      </c>
      <c r="D16">
        <f t="shared" si="0"/>
        <v>0</v>
      </c>
      <c r="E16" s="1">
        <v>1</v>
      </c>
      <c r="F16" s="1">
        <f t="shared" si="1"/>
        <v>0</v>
      </c>
      <c r="G16" s="2"/>
    </row>
    <row r="17" spans="1:7">
      <c r="A17" t="s">
        <v>31</v>
      </c>
      <c r="B17">
        <v>10</v>
      </c>
      <c r="C17">
        <v>10</v>
      </c>
      <c r="D17">
        <f t="shared" si="0"/>
        <v>0</v>
      </c>
      <c r="E17" s="1">
        <v>1</v>
      </c>
      <c r="F17" s="1">
        <f t="shared" si="1"/>
        <v>0</v>
      </c>
      <c r="G17" s="2"/>
    </row>
    <row r="18" spans="1:7">
      <c r="A18" t="s">
        <v>32</v>
      </c>
      <c r="B18">
        <v>10</v>
      </c>
      <c r="C18">
        <v>10</v>
      </c>
      <c r="D18">
        <f t="shared" si="0"/>
        <v>0</v>
      </c>
      <c r="E18" s="1">
        <v>1</v>
      </c>
      <c r="F18" s="1">
        <f t="shared" si="1"/>
        <v>0</v>
      </c>
      <c r="G18" s="2"/>
    </row>
    <row r="19" spans="1:7">
      <c r="A19" t="s">
        <v>33</v>
      </c>
      <c r="B19">
        <v>16</v>
      </c>
      <c r="C19">
        <v>16</v>
      </c>
      <c r="D19">
        <f t="shared" si="0"/>
        <v>0</v>
      </c>
      <c r="E19" s="1">
        <v>1</v>
      </c>
      <c r="F19" s="1">
        <f t="shared" si="1"/>
        <v>0</v>
      </c>
      <c r="G19" s="2"/>
    </row>
    <row r="20" spans="1:7">
      <c r="A20" t="s">
        <v>34</v>
      </c>
      <c r="B20">
        <v>8</v>
      </c>
      <c r="C20">
        <v>8</v>
      </c>
      <c r="D20">
        <f t="shared" si="0"/>
        <v>0</v>
      </c>
      <c r="E20" s="1">
        <v>1</v>
      </c>
      <c r="F20" s="1">
        <f t="shared" si="1"/>
        <v>0</v>
      </c>
      <c r="G20" s="2"/>
    </row>
    <row r="21" spans="1:7">
      <c r="A21" t="s">
        <v>35</v>
      </c>
      <c r="B21">
        <v>10</v>
      </c>
      <c r="C21">
        <v>10</v>
      </c>
      <c r="D21">
        <f t="shared" si="0"/>
        <v>0</v>
      </c>
      <c r="E21" s="1">
        <v>1</v>
      </c>
      <c r="F21" s="1">
        <f t="shared" si="1"/>
        <v>0</v>
      </c>
      <c r="G21" s="2"/>
    </row>
    <row r="22" spans="1:7">
      <c r="A22" t="s">
        <v>36</v>
      </c>
      <c r="B22">
        <v>7</v>
      </c>
      <c r="C22">
        <v>7</v>
      </c>
      <c r="D22">
        <f t="shared" si="0"/>
        <v>0</v>
      </c>
      <c r="E22" s="1">
        <v>2</v>
      </c>
      <c r="F22" s="1">
        <f t="shared" si="1"/>
        <v>0</v>
      </c>
      <c r="G22" s="2"/>
    </row>
    <row r="23" spans="1:7">
      <c r="A23" t="s">
        <v>37</v>
      </c>
      <c r="B23">
        <v>7</v>
      </c>
      <c r="C23">
        <v>7</v>
      </c>
      <c r="D23">
        <f t="shared" si="0"/>
        <v>0</v>
      </c>
      <c r="E23" s="1">
        <v>2</v>
      </c>
      <c r="F23" s="1">
        <f t="shared" si="1"/>
        <v>0</v>
      </c>
      <c r="G23" s="2"/>
    </row>
    <row r="24" spans="1:7">
      <c r="A24" t="s">
        <v>38</v>
      </c>
      <c r="B24">
        <v>6</v>
      </c>
      <c r="C24">
        <v>6</v>
      </c>
      <c r="D24">
        <f t="shared" si="0"/>
        <v>0</v>
      </c>
      <c r="E24" s="1">
        <v>2</v>
      </c>
      <c r="F24" s="1">
        <f t="shared" si="1"/>
        <v>0</v>
      </c>
      <c r="G24" s="2"/>
    </row>
    <row r="25" spans="1:7">
      <c r="A25" t="s">
        <v>39</v>
      </c>
      <c r="B25">
        <v>4</v>
      </c>
      <c r="C25">
        <v>4</v>
      </c>
      <c r="D25">
        <f t="shared" si="0"/>
        <v>0</v>
      </c>
      <c r="E25" s="1">
        <v>2</v>
      </c>
      <c r="F25" s="1">
        <f t="shared" si="1"/>
        <v>0</v>
      </c>
      <c r="G25" s="2"/>
    </row>
    <row r="26" spans="1:7">
      <c r="A26" t="s">
        <v>40</v>
      </c>
      <c r="B26">
        <v>12</v>
      </c>
      <c r="C26">
        <v>12</v>
      </c>
      <c r="D26">
        <f t="shared" si="0"/>
        <v>0</v>
      </c>
      <c r="E26" s="1">
        <v>2</v>
      </c>
      <c r="F26" s="1">
        <f t="shared" si="1"/>
        <v>0</v>
      </c>
      <c r="G26" s="2"/>
    </row>
    <row r="27" spans="1:7">
      <c r="A27" t="s">
        <v>41</v>
      </c>
      <c r="B27">
        <v>6</v>
      </c>
      <c r="C27">
        <v>6</v>
      </c>
      <c r="D27">
        <f t="shared" si="0"/>
        <v>0</v>
      </c>
      <c r="E27" s="1">
        <v>2</v>
      </c>
      <c r="F27" s="1">
        <f t="shared" si="1"/>
        <v>0</v>
      </c>
      <c r="G27" s="2"/>
    </row>
    <row r="28" spans="1:7">
      <c r="A28" t="s">
        <v>42</v>
      </c>
      <c r="B28">
        <v>6</v>
      </c>
      <c r="C28">
        <v>6</v>
      </c>
      <c r="D28">
        <f t="shared" si="0"/>
        <v>0</v>
      </c>
      <c r="E28" s="1">
        <v>2</v>
      </c>
      <c r="F28" s="1">
        <f t="shared" si="1"/>
        <v>0</v>
      </c>
      <c r="G28" s="2"/>
    </row>
    <row r="29" spans="1:7">
      <c r="A29" t="s">
        <v>43</v>
      </c>
      <c r="B29">
        <v>6</v>
      </c>
      <c r="C29">
        <v>6</v>
      </c>
      <c r="D29">
        <f t="shared" si="0"/>
        <v>0</v>
      </c>
      <c r="E29" s="1">
        <v>2</v>
      </c>
      <c r="F29" s="1">
        <f t="shared" si="1"/>
        <v>0</v>
      </c>
      <c r="G29" s="2"/>
    </row>
    <row r="30" spans="1:7">
      <c r="A30" t="s">
        <v>44</v>
      </c>
      <c r="B30">
        <v>12</v>
      </c>
      <c r="C30">
        <v>12</v>
      </c>
      <c r="D30">
        <f t="shared" si="0"/>
        <v>0</v>
      </c>
      <c r="E30" s="1">
        <v>2</v>
      </c>
      <c r="F30" s="1">
        <f t="shared" si="1"/>
        <v>0</v>
      </c>
      <c r="G30" s="2"/>
    </row>
    <row r="31" spans="1:7">
      <c r="A31" t="s">
        <v>45</v>
      </c>
      <c r="B31">
        <v>8</v>
      </c>
      <c r="C31">
        <v>8</v>
      </c>
      <c r="D31">
        <f t="shared" si="0"/>
        <v>0</v>
      </c>
      <c r="E31" s="1">
        <v>2</v>
      </c>
      <c r="F31" s="1">
        <f t="shared" si="1"/>
        <v>0</v>
      </c>
      <c r="G31" s="2"/>
    </row>
    <row r="32" spans="1:7">
      <c r="A32" t="s">
        <v>46</v>
      </c>
      <c r="B32">
        <v>8</v>
      </c>
      <c r="C32">
        <v>8</v>
      </c>
      <c r="D32">
        <f t="shared" si="0"/>
        <v>0</v>
      </c>
      <c r="E32" s="1">
        <v>2</v>
      </c>
      <c r="F32" s="1">
        <f t="shared" si="1"/>
        <v>0</v>
      </c>
      <c r="G32" s="2"/>
    </row>
    <row r="33" spans="1:7">
      <c r="A33" t="s">
        <v>47</v>
      </c>
      <c r="B33">
        <v>8</v>
      </c>
      <c r="C33">
        <v>8</v>
      </c>
      <c r="D33">
        <f t="shared" si="0"/>
        <v>0</v>
      </c>
      <c r="E33" s="1">
        <v>2</v>
      </c>
      <c r="F33" s="1">
        <f t="shared" si="1"/>
        <v>0</v>
      </c>
      <c r="G33" s="2"/>
    </row>
    <row r="34" spans="1:7">
      <c r="A34" t="s">
        <v>48</v>
      </c>
      <c r="B34">
        <v>8</v>
      </c>
      <c r="C34">
        <v>8</v>
      </c>
      <c r="D34">
        <f t="shared" si="0"/>
        <v>0</v>
      </c>
      <c r="E34" s="1">
        <v>2</v>
      </c>
      <c r="F34" s="1">
        <f t="shared" si="1"/>
        <v>0</v>
      </c>
      <c r="G34" s="2"/>
    </row>
    <row r="35" spans="1:7">
      <c r="A35" t="s">
        <v>55</v>
      </c>
      <c r="B35">
        <v>64</v>
      </c>
      <c r="C35">
        <v>64</v>
      </c>
      <c r="D35">
        <f t="shared" si="0"/>
        <v>0</v>
      </c>
      <c r="E35" s="1">
        <v>1.5</v>
      </c>
      <c r="F35" s="1">
        <f>D35*E35</f>
        <v>0</v>
      </c>
      <c r="G35" s="2"/>
    </row>
    <row r="36" spans="1:7">
      <c r="A36" t="s">
        <v>16</v>
      </c>
      <c r="B36">
        <v>113</v>
      </c>
      <c r="C36">
        <v>113</v>
      </c>
      <c r="D36">
        <f t="shared" si="0"/>
        <v>0</v>
      </c>
      <c r="E36" s="1">
        <v>1</v>
      </c>
      <c r="F36" s="1">
        <f>D36*E36</f>
        <v>0</v>
      </c>
      <c r="G36" s="2"/>
    </row>
    <row r="37" spans="1:7">
      <c r="E37" t="s">
        <v>10</v>
      </c>
      <c r="F37" s="2">
        <f>SUM(F2:F36)</f>
        <v>0</v>
      </c>
    </row>
    <row r="38" spans="1:7">
      <c r="E38" t="s">
        <v>56</v>
      </c>
      <c r="F38" s="1">
        <f>Gratuité!D21</f>
        <v>0</v>
      </c>
    </row>
    <row r="39" spans="1:7">
      <c r="E39" t="s">
        <v>57</v>
      </c>
      <c r="F39" s="2">
        <f>F37-F38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6EB9-7A31-2544-BF9A-A9D784F271D0}">
  <dimension ref="A1:O33"/>
  <sheetViews>
    <sheetView tabSelected="1" workbookViewId="0">
      <selection activeCell="B13" sqref="B13"/>
    </sheetView>
  </sheetViews>
  <sheetFormatPr baseColWidth="10" defaultRowHeight="16"/>
  <cols>
    <col min="1" max="1" width="15.5" bestFit="1" customWidth="1"/>
    <col min="2" max="2" width="11.6640625" bestFit="1" customWidth="1"/>
    <col min="3" max="3" width="12.5" bestFit="1" customWidth="1"/>
    <col min="4" max="4" width="12.6640625" bestFit="1" customWidth="1"/>
    <col min="5" max="5" width="12.33203125" bestFit="1" customWidth="1"/>
    <col min="6" max="6" width="9.83203125" bestFit="1" customWidth="1"/>
    <col min="11" max="11" width="11.6640625" bestFit="1" customWidth="1"/>
    <col min="12" max="12" width="22.6640625" customWidth="1"/>
  </cols>
  <sheetData>
    <row r="1" spans="1:14">
      <c r="A1" s="37" t="s">
        <v>85</v>
      </c>
    </row>
    <row r="2" spans="1:14">
      <c r="A2" s="37"/>
      <c r="B2" s="37" t="s">
        <v>84</v>
      </c>
      <c r="C2" s="37" t="s">
        <v>83</v>
      </c>
      <c r="D2" s="37" t="s">
        <v>82</v>
      </c>
      <c r="E2" s="37" t="s">
        <v>81</v>
      </c>
      <c r="F2" s="37" t="s">
        <v>10</v>
      </c>
      <c r="J2" s="37"/>
      <c r="K2" s="37" t="s">
        <v>80</v>
      </c>
      <c r="L2" s="37" t="s">
        <v>53</v>
      </c>
      <c r="M2" s="37" t="s">
        <v>79</v>
      </c>
      <c r="N2" s="37"/>
    </row>
    <row r="3" spans="1:14">
      <c r="A3" s="40" t="s">
        <v>78</v>
      </c>
      <c r="B3" s="39">
        <v>18.68</v>
      </c>
      <c r="C3" s="38">
        <v>36</v>
      </c>
      <c r="D3">
        <v>1</v>
      </c>
      <c r="E3">
        <f t="shared" ref="E3:E17" si="0">D3*C3</f>
        <v>36</v>
      </c>
      <c r="F3" s="1">
        <f t="shared" ref="F3:F17" si="1">D3*B3</f>
        <v>18.68</v>
      </c>
      <c r="J3" s="40" t="s">
        <v>77</v>
      </c>
      <c r="K3" s="39">
        <f>B3/C3</f>
        <v>0.51888888888888884</v>
      </c>
      <c r="L3" s="1">
        <v>1</v>
      </c>
      <c r="M3" s="1">
        <f t="shared" ref="M3:M13" si="2">L3-K3</f>
        <v>0.48111111111111116</v>
      </c>
      <c r="N3" s="1"/>
    </row>
    <row r="4" spans="1:14">
      <c r="A4" s="40" t="s">
        <v>76</v>
      </c>
      <c r="B4" s="39">
        <v>27.48</v>
      </c>
      <c r="C4" s="38">
        <v>54</v>
      </c>
      <c r="D4">
        <v>1</v>
      </c>
      <c r="E4">
        <f t="shared" si="0"/>
        <v>54</v>
      </c>
      <c r="F4" s="1">
        <f t="shared" si="1"/>
        <v>27.48</v>
      </c>
      <c r="J4" s="40" t="s">
        <v>76</v>
      </c>
      <c r="K4" s="39">
        <f>(B4/C4)</f>
        <v>0.50888888888888895</v>
      </c>
      <c r="L4" s="1">
        <v>1</v>
      </c>
      <c r="M4" s="1">
        <f t="shared" si="2"/>
        <v>0.49111111111111105</v>
      </c>
      <c r="N4" s="1"/>
    </row>
    <row r="5" spans="1:14">
      <c r="A5" s="40" t="s">
        <v>55</v>
      </c>
      <c r="B5" s="39">
        <v>48.32</v>
      </c>
      <c r="C5" s="38">
        <v>64</v>
      </c>
      <c r="D5">
        <v>1</v>
      </c>
      <c r="E5">
        <f t="shared" si="0"/>
        <v>64</v>
      </c>
      <c r="F5" s="1">
        <f t="shared" si="1"/>
        <v>48.32</v>
      </c>
      <c r="J5" s="40" t="s">
        <v>55</v>
      </c>
      <c r="K5" s="39">
        <f>((B5/C5)+(B13/C13))</f>
        <v>0.755</v>
      </c>
      <c r="L5" s="1">
        <v>1.5</v>
      </c>
      <c r="M5" s="1">
        <f t="shared" si="2"/>
        <v>0.745</v>
      </c>
      <c r="N5" s="1"/>
    </row>
    <row r="6" spans="1:14">
      <c r="A6" s="40" t="s">
        <v>49</v>
      </c>
      <c r="B6" s="41">
        <v>4.99</v>
      </c>
      <c r="C6" s="38">
        <v>40</v>
      </c>
      <c r="D6">
        <v>1</v>
      </c>
      <c r="E6">
        <f t="shared" si="0"/>
        <v>40</v>
      </c>
      <c r="F6" s="1">
        <f t="shared" si="1"/>
        <v>4.99</v>
      </c>
      <c r="J6" s="40" t="s">
        <v>49</v>
      </c>
      <c r="K6" s="39">
        <f>B6/C6</f>
        <v>0.12475</v>
      </c>
      <c r="L6" s="1">
        <v>1</v>
      </c>
      <c r="M6" s="1">
        <f t="shared" si="2"/>
        <v>0.87524999999999997</v>
      </c>
      <c r="N6" s="1"/>
    </row>
    <row r="7" spans="1:14">
      <c r="A7" s="40" t="s">
        <v>16</v>
      </c>
      <c r="B7" s="39">
        <v>20.99</v>
      </c>
      <c r="C7" s="38">
        <v>113</v>
      </c>
      <c r="D7">
        <v>1</v>
      </c>
      <c r="E7">
        <f t="shared" si="0"/>
        <v>113</v>
      </c>
      <c r="F7" s="1">
        <f t="shared" si="1"/>
        <v>20.99</v>
      </c>
      <c r="J7" s="40" t="s">
        <v>75</v>
      </c>
      <c r="K7" s="39">
        <f>((B7/C7)+(B10/C10)+(B9/C9)+(B8/C8))</f>
        <v>0.43115221238938051</v>
      </c>
      <c r="L7" s="1">
        <v>1</v>
      </c>
      <c r="M7" s="1">
        <f t="shared" si="2"/>
        <v>0.56884778761061949</v>
      </c>
      <c r="N7" s="1"/>
    </row>
    <row r="8" spans="1:14">
      <c r="A8" s="40" t="s">
        <v>87</v>
      </c>
      <c r="B8" s="39">
        <v>5.61</v>
      </c>
      <c r="C8" s="38">
        <v>100</v>
      </c>
      <c r="D8">
        <v>1</v>
      </c>
      <c r="E8">
        <f t="shared" si="0"/>
        <v>100</v>
      </c>
      <c r="F8" s="1">
        <f t="shared" si="1"/>
        <v>5.61</v>
      </c>
      <c r="J8" s="40" t="s">
        <v>73</v>
      </c>
      <c r="K8" s="39">
        <f>B11/C11</f>
        <v>1.3211538461538461</v>
      </c>
      <c r="L8" s="1">
        <v>2</v>
      </c>
      <c r="M8" s="1">
        <f t="shared" si="2"/>
        <v>0.67884615384615388</v>
      </c>
      <c r="N8" s="1"/>
    </row>
    <row r="9" spans="1:14">
      <c r="A9" s="40" t="s">
        <v>86</v>
      </c>
      <c r="B9" s="39">
        <v>18.93</v>
      </c>
      <c r="C9" s="38">
        <v>100</v>
      </c>
      <c r="D9">
        <v>1</v>
      </c>
      <c r="E9">
        <f t="shared" si="0"/>
        <v>100</v>
      </c>
      <c r="F9" s="1">
        <f t="shared" si="1"/>
        <v>18.93</v>
      </c>
      <c r="J9" s="40" t="s">
        <v>71</v>
      </c>
      <c r="K9" s="39">
        <f>B12/C12</f>
        <v>0.67638888888888893</v>
      </c>
      <c r="L9" s="1">
        <v>1.25</v>
      </c>
      <c r="M9" s="1">
        <f t="shared" si="2"/>
        <v>0.57361111111111107</v>
      </c>
      <c r="N9" s="1"/>
    </row>
    <row r="10" spans="1:14">
      <c r="A10" s="40" t="s">
        <v>74</v>
      </c>
      <c r="B10" s="41">
        <v>0</v>
      </c>
      <c r="C10" s="38">
        <v>80</v>
      </c>
      <c r="D10">
        <v>1</v>
      </c>
      <c r="E10">
        <f t="shared" si="0"/>
        <v>80</v>
      </c>
      <c r="F10" s="1">
        <f t="shared" si="1"/>
        <v>0</v>
      </c>
      <c r="J10" s="40" t="s">
        <v>69</v>
      </c>
      <c r="K10" s="39">
        <f>B14/C14</f>
        <v>0.64968749999999997</v>
      </c>
      <c r="L10" s="2">
        <v>1.25</v>
      </c>
      <c r="M10" s="1">
        <f t="shared" si="2"/>
        <v>0.60031250000000003</v>
      </c>
      <c r="N10" s="1"/>
    </row>
    <row r="11" spans="1:14">
      <c r="A11" s="40" t="s">
        <v>73</v>
      </c>
      <c r="B11" s="39">
        <v>137.4</v>
      </c>
      <c r="C11" s="38">
        <v>104</v>
      </c>
      <c r="D11">
        <v>1</v>
      </c>
      <c r="E11">
        <f t="shared" si="0"/>
        <v>104</v>
      </c>
      <c r="F11" s="1">
        <f t="shared" si="1"/>
        <v>137.4</v>
      </c>
      <c r="J11" s="40" t="s">
        <v>72</v>
      </c>
      <c r="K11" s="39">
        <f>B15/C15</f>
        <v>0.66656249999999995</v>
      </c>
      <c r="L11" s="2">
        <v>1.25</v>
      </c>
      <c r="M11" s="1">
        <f t="shared" si="2"/>
        <v>0.58343750000000005</v>
      </c>
      <c r="N11" s="1"/>
    </row>
    <row r="12" spans="1:14">
      <c r="A12" s="40" t="s">
        <v>71</v>
      </c>
      <c r="B12" s="39">
        <v>48.7</v>
      </c>
      <c r="C12" s="38">
        <v>72</v>
      </c>
      <c r="D12">
        <v>1</v>
      </c>
      <c r="E12">
        <f t="shared" si="0"/>
        <v>72</v>
      </c>
      <c r="F12" s="1">
        <f t="shared" si="1"/>
        <v>48.7</v>
      </c>
      <c r="J12" s="40" t="s">
        <v>67</v>
      </c>
      <c r="K12" s="39">
        <f>B16/C16</f>
        <v>0</v>
      </c>
      <c r="L12" s="2">
        <v>1.25</v>
      </c>
      <c r="M12" s="1">
        <f t="shared" si="2"/>
        <v>1.25</v>
      </c>
      <c r="N12" s="1"/>
    </row>
    <row r="13" spans="1:14">
      <c r="A13" s="40" t="s">
        <v>90</v>
      </c>
      <c r="B13" s="41">
        <v>0</v>
      </c>
      <c r="C13" s="38">
        <v>100</v>
      </c>
      <c r="D13">
        <v>1</v>
      </c>
      <c r="E13">
        <f t="shared" si="0"/>
        <v>100</v>
      </c>
      <c r="F13" s="1">
        <f t="shared" si="1"/>
        <v>0</v>
      </c>
      <c r="J13" s="40" t="s">
        <v>88</v>
      </c>
      <c r="K13" s="39">
        <f>((B7/C7)+(B10/C10)+(B9/C9)+(B17/C17))</f>
        <v>0.68159067392784212</v>
      </c>
      <c r="L13" s="2">
        <v>1.5</v>
      </c>
      <c r="M13" s="1">
        <f t="shared" si="2"/>
        <v>0.81840932607215788</v>
      </c>
      <c r="N13" s="1"/>
    </row>
    <row r="14" spans="1:14">
      <c r="A14" s="40" t="s">
        <v>69</v>
      </c>
      <c r="B14" s="39">
        <v>20.79</v>
      </c>
      <c r="C14" s="38">
        <v>32</v>
      </c>
      <c r="D14">
        <v>1</v>
      </c>
      <c r="E14">
        <f t="shared" si="0"/>
        <v>32</v>
      </c>
      <c r="F14" s="1">
        <f t="shared" si="1"/>
        <v>20.79</v>
      </c>
      <c r="J14" s="37"/>
      <c r="L14" s="2"/>
      <c r="M14" s="1"/>
    </row>
    <row r="15" spans="1:14">
      <c r="A15" s="40" t="s">
        <v>68</v>
      </c>
      <c r="B15" s="39">
        <v>21.33</v>
      </c>
      <c r="C15" s="38">
        <v>32</v>
      </c>
      <c r="D15">
        <v>1</v>
      </c>
      <c r="E15">
        <f t="shared" si="0"/>
        <v>32</v>
      </c>
      <c r="F15" s="1">
        <f t="shared" si="1"/>
        <v>21.33</v>
      </c>
      <c r="J15" s="37"/>
    </row>
    <row r="16" spans="1:14">
      <c r="A16" s="40" t="s">
        <v>67</v>
      </c>
      <c r="B16" s="41">
        <v>0</v>
      </c>
      <c r="C16" s="38">
        <v>24</v>
      </c>
      <c r="D16">
        <v>1</v>
      </c>
      <c r="E16">
        <f t="shared" si="0"/>
        <v>24</v>
      </c>
      <c r="F16" s="1">
        <f t="shared" si="1"/>
        <v>0</v>
      </c>
      <c r="J16" s="37"/>
      <c r="M16" s="37" t="s">
        <v>70</v>
      </c>
      <c r="N16" s="2">
        <f>SUM(N3:N11)</f>
        <v>0</v>
      </c>
    </row>
    <row r="17" spans="1:15">
      <c r="A17" s="40" t="s">
        <v>89</v>
      </c>
      <c r="B17" s="41">
        <v>7.97</v>
      </c>
      <c r="C17" s="38">
        <v>26</v>
      </c>
      <c r="D17">
        <v>1</v>
      </c>
      <c r="E17">
        <f t="shared" si="0"/>
        <v>26</v>
      </c>
      <c r="F17" s="1">
        <f t="shared" si="1"/>
        <v>7.97</v>
      </c>
      <c r="J17" s="37"/>
    </row>
    <row r="18" spans="1:15">
      <c r="A18" s="37"/>
      <c r="D18" s="37" t="s">
        <v>10</v>
      </c>
      <c r="F18" s="1">
        <f>SUM(F3:F17)</f>
        <v>381.19</v>
      </c>
      <c r="J18" s="37"/>
    </row>
    <row r="19" spans="1:15">
      <c r="J19" s="37"/>
    </row>
    <row r="20" spans="1:15">
      <c r="M20" s="37" t="s">
        <v>66</v>
      </c>
      <c r="N20" s="2" t="e">
        <f>SUM(#REF!)</f>
        <v>#REF!</v>
      </c>
      <c r="O20" s="2" t="e">
        <f>SUM(#REF!)</f>
        <v>#REF!</v>
      </c>
    </row>
    <row r="21" spans="1:15">
      <c r="M21" s="37" t="s">
        <v>65</v>
      </c>
      <c r="N21" s="2" t="e">
        <f>SUM(N20-F18)</f>
        <v>#REF!</v>
      </c>
    </row>
    <row r="33" spans="5:5">
      <c r="E33">
        <v>368.26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B88B-1F54-104C-BD23-F2EE1B684D94}">
  <sheetPr codeName="Feuil2"/>
  <dimension ref="A1:I23"/>
  <sheetViews>
    <sheetView zoomScale="136" workbookViewId="0">
      <selection activeCell="E29" sqref="E29"/>
    </sheetView>
  </sheetViews>
  <sheetFormatPr baseColWidth="10" defaultColWidth="10.83203125" defaultRowHeight="16"/>
  <cols>
    <col min="1" max="2" width="13.6640625" customWidth="1"/>
    <col min="4" max="4" width="1.83203125" customWidth="1"/>
    <col min="5" max="6" width="15.83203125" customWidth="1"/>
    <col min="8" max="8" width="12.6640625" customWidth="1"/>
    <col min="9" max="9" width="1.83203125" customWidth="1"/>
  </cols>
  <sheetData>
    <row r="1" spans="1:9" ht="21">
      <c r="A1" s="45" t="s">
        <v>11</v>
      </c>
      <c r="B1" s="46"/>
      <c r="C1" s="46"/>
      <c r="D1" s="46"/>
      <c r="E1" s="46"/>
      <c r="F1" s="46"/>
      <c r="G1" s="46"/>
      <c r="H1" s="46"/>
      <c r="I1" s="46"/>
    </row>
    <row r="2" spans="1:9" ht="19">
      <c r="A2" s="42" t="s">
        <v>9</v>
      </c>
      <c r="B2" s="43"/>
      <c r="C2" s="43"/>
      <c r="D2" s="19"/>
      <c r="E2" s="47" t="s">
        <v>13</v>
      </c>
      <c r="F2" s="47"/>
      <c r="G2" s="47"/>
      <c r="H2" s="47"/>
      <c r="I2" s="19"/>
    </row>
    <row r="3" spans="1:9">
      <c r="A3" s="20" t="s">
        <v>7</v>
      </c>
      <c r="B3" s="7" t="s">
        <v>15</v>
      </c>
      <c r="C3" s="33" t="s">
        <v>8</v>
      </c>
      <c r="D3" s="21"/>
      <c r="E3" s="7" t="s">
        <v>7</v>
      </c>
      <c r="F3" s="7" t="s">
        <v>15</v>
      </c>
      <c r="G3" s="33" t="s">
        <v>8</v>
      </c>
      <c r="H3" s="22"/>
      <c r="I3" s="19"/>
    </row>
    <row r="4" spans="1:9">
      <c r="A4" s="9">
        <v>20</v>
      </c>
      <c r="B4" s="34"/>
      <c r="C4" s="16">
        <f>A4*B4</f>
        <v>0</v>
      </c>
      <c r="D4" s="23"/>
      <c r="E4" s="8">
        <v>100</v>
      </c>
      <c r="F4" s="36"/>
      <c r="G4" s="8">
        <f>E4*F4</f>
        <v>0</v>
      </c>
      <c r="H4" s="44"/>
      <c r="I4" s="24"/>
    </row>
    <row r="5" spans="1:9">
      <c r="A5" s="9">
        <v>10</v>
      </c>
      <c r="B5" s="36">
        <v>9</v>
      </c>
      <c r="C5" s="17">
        <f t="shared" ref="C5:C11" si="0">A5*B5</f>
        <v>90</v>
      </c>
      <c r="D5" s="23"/>
      <c r="E5" s="10">
        <v>50</v>
      </c>
      <c r="F5" s="36"/>
      <c r="G5" s="10">
        <f t="shared" ref="G5:G8" si="1">E5*F5</f>
        <v>0</v>
      </c>
      <c r="H5" s="44"/>
      <c r="I5" s="24"/>
    </row>
    <row r="6" spans="1:9">
      <c r="A6" s="9">
        <v>5</v>
      </c>
      <c r="B6" s="36">
        <v>11</v>
      </c>
      <c r="C6" s="17">
        <f t="shared" si="0"/>
        <v>55</v>
      </c>
      <c r="D6" s="23"/>
      <c r="E6" s="10">
        <v>20</v>
      </c>
      <c r="F6" s="36">
        <v>54</v>
      </c>
      <c r="G6" s="10">
        <f t="shared" si="1"/>
        <v>1080</v>
      </c>
      <c r="H6" s="44"/>
      <c r="I6" s="24"/>
    </row>
    <row r="7" spans="1:9">
      <c r="A7" s="9">
        <v>2</v>
      </c>
      <c r="B7" s="36">
        <v>25</v>
      </c>
      <c r="C7" s="17">
        <f t="shared" si="0"/>
        <v>50</v>
      </c>
      <c r="D7" s="23"/>
      <c r="E7" s="10">
        <v>10</v>
      </c>
      <c r="F7" s="36">
        <v>18</v>
      </c>
      <c r="G7" s="10">
        <f t="shared" si="1"/>
        <v>180</v>
      </c>
      <c r="H7" s="44"/>
      <c r="I7" s="24"/>
    </row>
    <row r="8" spans="1:9">
      <c r="A8" s="9">
        <v>1</v>
      </c>
      <c r="B8" s="36">
        <v>25</v>
      </c>
      <c r="C8" s="17">
        <f t="shared" si="0"/>
        <v>25</v>
      </c>
      <c r="D8" s="23"/>
      <c r="E8" s="10">
        <v>5</v>
      </c>
      <c r="F8" s="36">
        <v>29</v>
      </c>
      <c r="G8" s="10">
        <f t="shared" si="1"/>
        <v>145</v>
      </c>
      <c r="H8" s="44"/>
      <c r="I8" s="24"/>
    </row>
    <row r="9" spans="1:9">
      <c r="A9" s="9">
        <v>0.25</v>
      </c>
      <c r="B9" s="36">
        <v>40</v>
      </c>
      <c r="C9" s="17">
        <f t="shared" si="0"/>
        <v>10</v>
      </c>
      <c r="D9" s="23"/>
      <c r="E9" s="10">
        <v>2</v>
      </c>
      <c r="F9" s="36">
        <v>20</v>
      </c>
      <c r="G9" s="10">
        <f>E9*F9</f>
        <v>40</v>
      </c>
      <c r="H9" s="15"/>
      <c r="I9" s="24"/>
    </row>
    <row r="10" spans="1:9">
      <c r="A10" s="9">
        <v>0.1</v>
      </c>
      <c r="B10" s="36"/>
      <c r="C10" s="17">
        <f t="shared" si="0"/>
        <v>0</v>
      </c>
      <c r="D10" s="23"/>
      <c r="E10" s="10">
        <v>1</v>
      </c>
      <c r="F10" s="36">
        <v>30</v>
      </c>
      <c r="G10" s="10">
        <f>E10*F10</f>
        <v>30</v>
      </c>
      <c r="H10" s="15"/>
      <c r="I10" s="24"/>
    </row>
    <row r="11" spans="1:9">
      <c r="A11" s="12">
        <v>0.05</v>
      </c>
      <c r="B11" s="35"/>
      <c r="C11" s="25">
        <f t="shared" si="0"/>
        <v>0</v>
      </c>
      <c r="D11" s="23"/>
      <c r="E11" s="9">
        <v>0.25</v>
      </c>
      <c r="F11" s="36">
        <v>60</v>
      </c>
      <c r="G11" s="10">
        <f>E11*F11</f>
        <v>15</v>
      </c>
      <c r="H11" s="15"/>
      <c r="I11" s="24"/>
    </row>
    <row r="12" spans="1:9">
      <c r="B12" s="18" t="s">
        <v>10</v>
      </c>
      <c r="C12" s="18">
        <f>SUM(C4:C9)</f>
        <v>230</v>
      </c>
      <c r="D12" s="23"/>
      <c r="E12" s="9">
        <v>0.1</v>
      </c>
      <c r="F12" s="36"/>
      <c r="G12" s="10">
        <f>E12*F12</f>
        <v>0</v>
      </c>
      <c r="H12" s="15"/>
      <c r="I12" s="24"/>
    </row>
    <row r="13" spans="1:9">
      <c r="A13" s="17"/>
      <c r="B13" s="26"/>
      <c r="C13" s="26"/>
      <c r="D13" s="23"/>
      <c r="E13" s="12">
        <v>0.05</v>
      </c>
      <c r="F13" s="36"/>
      <c r="G13" s="11">
        <f>E13*F13</f>
        <v>0</v>
      </c>
      <c r="H13" s="15"/>
      <c r="I13" s="24"/>
    </row>
    <row r="14" spans="1:9">
      <c r="A14" s="17"/>
      <c r="B14" s="26"/>
      <c r="C14" s="26"/>
      <c r="D14" s="23"/>
      <c r="F14" s="13" t="s">
        <v>10</v>
      </c>
      <c r="G14" s="14">
        <f>SUM(G4:G13)</f>
        <v>1490</v>
      </c>
      <c r="H14" s="15"/>
      <c r="I14" s="24"/>
    </row>
    <row r="15" spans="1:9">
      <c r="A15" s="17"/>
      <c r="B15" s="26"/>
      <c r="C15" s="26"/>
      <c r="D15" s="23"/>
      <c r="E15" s="9"/>
      <c r="F15" s="9"/>
      <c r="G15" s="9"/>
      <c r="H15" s="15"/>
      <c r="I15" s="24"/>
    </row>
    <row r="16" spans="1:9">
      <c r="A16" s="17"/>
      <c r="B16" s="26"/>
      <c r="C16" s="26"/>
      <c r="D16" s="23"/>
      <c r="E16" s="9" t="s">
        <v>58</v>
      </c>
      <c r="F16" s="9"/>
      <c r="G16" s="10">
        <f>'Inventaire + Vente'!F39</f>
        <v>0</v>
      </c>
      <c r="H16" s="15"/>
      <c r="I16" s="24"/>
    </row>
    <row r="17" spans="1:9">
      <c r="A17" s="17"/>
      <c r="B17" s="26"/>
      <c r="C17" s="26"/>
      <c r="D17" s="23"/>
      <c r="E17" s="12" t="s">
        <v>59</v>
      </c>
      <c r="F17" s="12"/>
      <c r="G17" s="11">
        <v>730</v>
      </c>
      <c r="H17" s="15"/>
      <c r="I17" s="24"/>
    </row>
    <row r="18" spans="1:9">
      <c r="A18" s="17"/>
      <c r="B18" s="26"/>
      <c r="C18" s="26"/>
      <c r="D18" s="23"/>
      <c r="E18" s="13" t="s">
        <v>10</v>
      </c>
      <c r="F18" s="13"/>
      <c r="G18" s="14">
        <f>SUM(G16:G17)</f>
        <v>730</v>
      </c>
      <c r="H18" s="15"/>
      <c r="I18" s="24"/>
    </row>
    <row r="19" spans="1:9">
      <c r="A19" s="27"/>
      <c r="B19" s="22"/>
      <c r="C19" s="22"/>
      <c r="D19" s="19"/>
      <c r="E19" s="15"/>
      <c r="F19" s="15"/>
      <c r="G19" s="15"/>
      <c r="H19" s="15"/>
      <c r="I19" s="24"/>
    </row>
    <row r="20" spans="1:9">
      <c r="A20" s="27"/>
      <c r="B20" s="22"/>
      <c r="C20" s="22"/>
      <c r="D20" s="19"/>
      <c r="E20" s="31" t="s">
        <v>12</v>
      </c>
      <c r="F20" s="31"/>
      <c r="G20" s="11" t="b">
        <f>C12+G18=G14</f>
        <v>0</v>
      </c>
      <c r="H20" s="15"/>
      <c r="I20" s="24"/>
    </row>
    <row r="21" spans="1:9">
      <c r="A21" s="27"/>
      <c r="B21" s="22"/>
      <c r="C21" s="22"/>
      <c r="D21" s="19"/>
      <c r="H21" s="15"/>
      <c r="I21" s="24"/>
    </row>
    <row r="22" spans="1:9">
      <c r="A22" s="27"/>
      <c r="B22" s="22"/>
      <c r="C22" s="22"/>
      <c r="D22" s="19"/>
      <c r="E22" s="15"/>
      <c r="F22" s="15"/>
      <c r="G22" s="15"/>
      <c r="H22" s="15"/>
      <c r="I22" s="24"/>
    </row>
    <row r="23" spans="1:9">
      <c r="A23" s="28"/>
      <c r="B23" s="29"/>
      <c r="C23" s="29"/>
      <c r="D23" s="30"/>
      <c r="E23" s="31"/>
      <c r="F23" s="31"/>
      <c r="G23" s="31"/>
      <c r="H23" s="31"/>
      <c r="I23" s="32"/>
    </row>
  </sheetData>
  <mergeCells count="4">
    <mergeCell ref="A2:C2"/>
    <mergeCell ref="H4:H8"/>
    <mergeCell ref="A1:I1"/>
    <mergeCell ref="E2:H2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3C17B6615905439AEB3A835A1B5E39" ma:contentTypeVersion="7" ma:contentTypeDescription="Crée un document." ma:contentTypeScope="" ma:versionID="119ae9431e3c3cfc5038614cc87efb16">
  <xsd:schema xmlns:xsd="http://www.w3.org/2001/XMLSchema" xmlns:xs="http://www.w3.org/2001/XMLSchema" xmlns:p="http://schemas.microsoft.com/office/2006/metadata/properties" xmlns:ns2="2a9f6c59-98ae-4392-a060-9adf4c0d3f1c" targetNamespace="http://schemas.microsoft.com/office/2006/metadata/properties" ma:root="true" ma:fieldsID="0940b4e3759568a7a0becb21fbbd1ede" ns2:_="">
    <xsd:import namespace="2a9f6c59-98ae-4392-a060-9adf4c0d3f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9f6c59-98ae-4392-a060-9adf4c0d3f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FEBBC3-734B-4685-BC20-E57BCCBF66EA}">
  <ds:schemaRefs>
    <ds:schemaRef ds:uri="2a9f6c59-98ae-4392-a060-9adf4c0d3f1c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DE7B7AE-8446-4B6B-868A-676EAEAE54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9f6c59-98ae-4392-a060-9adf4c0d3f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60DF0B3-CD2A-49C3-9E90-181A11FA61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Statistiques</vt:lpstr>
      <vt:lpstr>Gratuité</vt:lpstr>
      <vt:lpstr>Inventaire + Vente</vt:lpstr>
      <vt:lpstr>Budget-Cantine</vt:lpstr>
      <vt:lpstr>Comptant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Patrick Labbé</cp:lastModifiedBy>
  <dcterms:created xsi:type="dcterms:W3CDTF">2020-03-04T01:35:55Z</dcterms:created>
  <dcterms:modified xsi:type="dcterms:W3CDTF">2025-02-15T19:42:58Z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0x010100093C17B6615905439AEB3A835A1B5E39</vt:lpwstr>
  </property>
</Properties>
</file>